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ba247a4ada7bc9a/Documents/"/>
    </mc:Choice>
  </mc:AlternateContent>
  <xr:revisionPtr revIDLastSave="1" documentId="8_{CD0C0CBA-DB56-439C-A356-30208D5F9BFC}" xr6:coauthVersionLast="47" xr6:coauthVersionMax="47" xr10:uidLastSave="{31657B4D-6712-4666-910B-15D701FDC017}"/>
  <bookViews>
    <workbookView xWindow="-90" yWindow="-90" windowWidth="19380" windowHeight="11460" xr2:uid="{00000000-000D-0000-FFFF-FFFF00000000}"/>
  </bookViews>
  <sheets>
    <sheet name="page-1_table-1" sheetId="1" r:id="rId1"/>
  </sheets>
  <calcPr calcId="191029"/>
</workbook>
</file>

<file path=xl/calcChain.xml><?xml version="1.0" encoding="utf-8"?>
<calcChain xmlns="http://schemas.openxmlformats.org/spreadsheetml/2006/main">
  <c r="G2" i="1" l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36" i="1"/>
  <c r="H35" i="1"/>
  <c r="G35" i="1"/>
  <c r="H34" i="1"/>
  <c r="G34" i="1"/>
  <c r="H25" i="1"/>
  <c r="H26" i="1"/>
  <c r="H27" i="1"/>
  <c r="H28" i="1"/>
  <c r="H29" i="1"/>
  <c r="H30" i="1"/>
  <c r="H31" i="1"/>
  <c r="H32" i="1"/>
  <c r="H33" i="1"/>
  <c r="G26" i="1"/>
  <c r="G27" i="1"/>
  <c r="G28" i="1"/>
  <c r="G29" i="1"/>
  <c r="G30" i="1"/>
  <c r="G31" i="1"/>
  <c r="G32" i="1"/>
  <c r="G33" i="1"/>
  <c r="G25" i="1"/>
  <c r="H24" i="1"/>
  <c r="G24" i="1"/>
  <c r="H23" i="1"/>
  <c r="G23" i="1"/>
  <c r="H14" i="1"/>
  <c r="H15" i="1"/>
  <c r="H16" i="1"/>
  <c r="H17" i="1"/>
  <c r="H18" i="1"/>
  <c r="H19" i="1"/>
  <c r="H20" i="1"/>
  <c r="H21" i="1"/>
  <c r="H22" i="1"/>
  <c r="G15" i="1"/>
  <c r="G16" i="1"/>
  <c r="G17" i="1"/>
  <c r="G18" i="1"/>
  <c r="G19" i="1"/>
  <c r="G20" i="1"/>
  <c r="G21" i="1"/>
  <c r="G22" i="1"/>
  <c r="G14" i="1"/>
  <c r="H13" i="1"/>
  <c r="G13" i="1"/>
  <c r="H12" i="1"/>
  <c r="G12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H2" i="1"/>
</calcChain>
</file>

<file path=xl/sharedStrings.xml><?xml version="1.0" encoding="utf-8"?>
<sst xmlns="http://schemas.openxmlformats.org/spreadsheetml/2006/main" count="148" uniqueCount="110">
  <si>
    <t>Temperature</t>
  </si>
  <si>
    <t>Initial Concentration</t>
  </si>
  <si>
    <t>Time</t>
  </si>
  <si>
    <t>A</t>
  </si>
  <si>
    <t>B</t>
  </si>
  <si>
    <t>I</t>
  </si>
  <si>
    <t>0</t>
  </si>
  <si>
    <t>50.000</t>
  </si>
  <si>
    <t>0.000</t>
  </si>
  <si>
    <t>0.5</t>
  </si>
  <si>
    <t>29.042</t>
  </si>
  <si>
    <t>20.541</t>
  </si>
  <si>
    <t>0.418</t>
  </si>
  <si>
    <t>1</t>
  </si>
  <si>
    <t>16.944</t>
  </si>
  <si>
    <t>32.497</t>
  </si>
  <si>
    <t>0.559</t>
  </si>
  <si>
    <t>1.5</t>
  </si>
  <si>
    <t>9.911</t>
  </si>
  <si>
    <t>39.482</t>
  </si>
  <si>
    <t>0.608</t>
  </si>
  <si>
    <t>2</t>
  </si>
  <si>
    <t>5.806</t>
  </si>
  <si>
    <t>43.570</t>
  </si>
  <si>
    <t>0.624</t>
  </si>
  <si>
    <t>2.5</t>
  </si>
  <si>
    <t>3.404</t>
  </si>
  <si>
    <t>45.966</t>
  </si>
  <si>
    <t>0.630</t>
  </si>
  <si>
    <t>3</t>
  </si>
  <si>
    <t>1.997</t>
  </si>
  <si>
    <t>47.372</t>
  </si>
  <si>
    <t>0.632</t>
  </si>
  <si>
    <t>3.5</t>
  </si>
  <si>
    <t>1.172</t>
  </si>
  <si>
    <t>48.196</t>
  </si>
  <si>
    <t>4</t>
  </si>
  <si>
    <t>0.688</t>
  </si>
  <si>
    <t>48.680</t>
  </si>
  <si>
    <t>0.633</t>
  </si>
  <si>
    <t>4.5</t>
  </si>
  <si>
    <t>0.404</t>
  </si>
  <si>
    <t>48.964</t>
  </si>
  <si>
    <t>5</t>
  </si>
  <si>
    <t>0.237</t>
  </si>
  <si>
    <t>49.130</t>
  </si>
  <si>
    <t>100.000</t>
  </si>
  <si>
    <t>57.475</t>
  </si>
  <si>
    <t>40.869</t>
  </si>
  <si>
    <t>1.656</t>
  </si>
  <si>
    <t>33.331</t>
  </si>
  <si>
    <t>64.463</t>
  </si>
  <si>
    <t>2.207</t>
  </si>
  <si>
    <t>19.428</t>
  </si>
  <si>
    <t>78.179</t>
  </si>
  <si>
    <t>2.393</t>
  </si>
  <si>
    <t>11.358</t>
  </si>
  <si>
    <t>86.186</t>
  </si>
  <si>
    <t>2.456</t>
  </si>
  <si>
    <t>6.652</t>
  </si>
  <si>
    <t>90.870</t>
  </si>
  <si>
    <t>2.478</t>
  </si>
  <si>
    <t>3.899</t>
  </si>
  <si>
    <t>93.615</t>
  </si>
  <si>
    <t>2.486</t>
  </si>
  <si>
    <t>2.287</t>
  </si>
  <si>
    <t>95.225</t>
  </si>
  <si>
    <t>2.488</t>
  </si>
  <si>
    <t>1.342</t>
  </si>
  <si>
    <t>96.169</t>
  </si>
  <si>
    <t>2.489</t>
  </si>
  <si>
    <t>0.788</t>
  </si>
  <si>
    <t>96.723</t>
  </si>
  <si>
    <t>0.462</t>
  </si>
  <si>
    <t>97.048</t>
  </si>
  <si>
    <t>200.000</t>
  </si>
  <si>
    <t>112.591</t>
  </si>
  <si>
    <t>80.908</t>
  </si>
  <si>
    <t>6.500</t>
  </si>
  <si>
    <t>64.542</t>
  </si>
  <si>
    <t>126.864</t>
  </si>
  <si>
    <t>8.594</t>
  </si>
  <si>
    <t>37.373</t>
  </si>
  <si>
    <t>153.339</t>
  </si>
  <si>
    <t>9.288</t>
  </si>
  <si>
    <t>21.766</t>
  </si>
  <si>
    <t>168.712</t>
  </si>
  <si>
    <t>9.522</t>
  </si>
  <si>
    <t>12.718</t>
  </si>
  <si>
    <t>177.680</t>
  </si>
  <si>
    <t>9.602</t>
  </si>
  <si>
    <t>7.446</t>
  </si>
  <si>
    <t>182.925</t>
  </si>
  <si>
    <t>9.629</t>
  </si>
  <si>
    <t>4.364</t>
  </si>
  <si>
    <t>185.998</t>
  </si>
  <si>
    <t>9.638</t>
  </si>
  <si>
    <t>2.560</t>
  </si>
  <si>
    <t>187.799</t>
  </si>
  <si>
    <t>9.642</t>
  </si>
  <si>
    <t>1.502</t>
  </si>
  <si>
    <t>188.856</t>
  </si>
  <si>
    <t>9.643</t>
  </si>
  <si>
    <t>0.881</t>
  </si>
  <si>
    <t>189.476</t>
  </si>
  <si>
    <t>27.266</t>
  </si>
  <si>
    <t>22.190</t>
  </si>
  <si>
    <t>0.545</t>
  </si>
  <si>
    <t xml:space="preserve">Conversion percentage </t>
  </si>
  <si>
    <t xml:space="preserve">Impurity percentage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</si>
</sst>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zoomScale="83" workbookViewId="0">
      <selection activeCell="H13" sqref="H13"/>
    </sheetView>
  </sheetViews>
  <sheetFormatPr defaultRowHeight="16" x14ac:dyDescent="0.8"/>
  <cols>
    <col min="7" max="7" width="20.0390625" bestFit="1" customWidth="1"/>
    <col min="8" max="8" width="19.58203125" customWidth="1"/>
  </cols>
  <sheetData>
    <row r="1" spans="1:8" x14ac:dyDescent="0.8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  <c r="G1" t="s">
        <v>108</v>
      </c>
      <c r="H1" t="s">
        <v>109</v>
      </c>
    </row>
    <row r="2" spans="1:8" x14ac:dyDescent="0.8">
      <c r="A2" t="s">
        <v>6</v>
      </c>
      <c r="B2" t="s">
        <v>7</v>
      </c>
      <c r="C2" t="s">
        <v>8</v>
      </c>
      <c r="D2" t="s">
        <v>8</v>
      </c>
      <c r="E2" s="1">
        <v>30</v>
      </c>
      <c r="F2" s="1">
        <v>50</v>
      </c>
      <c r="G2">
        <f>C2/50</f>
        <v>0</v>
      </c>
      <c r="H2">
        <f>D2/50</f>
        <v>0</v>
      </c>
    </row>
    <row r="3" spans="1:8" x14ac:dyDescent="0.8">
      <c r="A3" t="s">
        <v>9</v>
      </c>
      <c r="B3" t="s">
        <v>10</v>
      </c>
      <c r="C3" t="s">
        <v>11</v>
      </c>
      <c r="D3" t="s">
        <v>12</v>
      </c>
      <c r="E3" s="1">
        <v>30</v>
      </c>
      <c r="F3" s="1">
        <v>50</v>
      </c>
      <c r="G3">
        <f>C3/50</f>
        <v>0.41082000000000002</v>
      </c>
      <c r="H3">
        <f>D3/50</f>
        <v>8.3599999999999994E-3</v>
      </c>
    </row>
    <row r="4" spans="1:8" x14ac:dyDescent="0.8">
      <c r="A4" t="s">
        <v>13</v>
      </c>
      <c r="B4" t="s">
        <v>14</v>
      </c>
      <c r="C4" t="s">
        <v>15</v>
      </c>
      <c r="D4" t="s">
        <v>16</v>
      </c>
      <c r="E4" s="1">
        <v>30</v>
      </c>
      <c r="F4" s="1">
        <v>50</v>
      </c>
      <c r="G4">
        <f>C4/50</f>
        <v>0.64993999999999996</v>
      </c>
      <c r="H4">
        <f>D4/50</f>
        <v>1.1180000000000001E-2</v>
      </c>
    </row>
    <row r="5" spans="1:8" x14ac:dyDescent="0.8">
      <c r="A5" t="s">
        <v>17</v>
      </c>
      <c r="B5" t="s">
        <v>18</v>
      </c>
      <c r="C5" t="s">
        <v>19</v>
      </c>
      <c r="D5" t="s">
        <v>20</v>
      </c>
      <c r="E5" s="1">
        <v>30</v>
      </c>
      <c r="F5" s="1">
        <v>50</v>
      </c>
      <c r="G5">
        <f>C5/50</f>
        <v>0.78964000000000001</v>
      </c>
      <c r="H5">
        <f>D5/50</f>
        <v>1.2159999999999999E-2</v>
      </c>
    </row>
    <row r="6" spans="1:8" x14ac:dyDescent="0.8">
      <c r="A6" t="s">
        <v>21</v>
      </c>
      <c r="B6" t="s">
        <v>22</v>
      </c>
      <c r="C6" t="s">
        <v>23</v>
      </c>
      <c r="D6" t="s">
        <v>24</v>
      </c>
      <c r="E6" s="1">
        <v>30</v>
      </c>
      <c r="F6" s="1">
        <v>50</v>
      </c>
      <c r="G6">
        <f>C6/50</f>
        <v>0.87139999999999995</v>
      </c>
      <c r="H6">
        <f>D6/50</f>
        <v>1.248E-2</v>
      </c>
    </row>
    <row r="7" spans="1:8" x14ac:dyDescent="0.8">
      <c r="A7" t="s">
        <v>25</v>
      </c>
      <c r="B7" t="s">
        <v>26</v>
      </c>
      <c r="C7" t="s">
        <v>27</v>
      </c>
      <c r="D7" t="s">
        <v>28</v>
      </c>
      <c r="E7" s="1">
        <v>30</v>
      </c>
      <c r="F7" s="1">
        <v>50</v>
      </c>
      <c r="G7">
        <f>C7/50</f>
        <v>0.91932000000000003</v>
      </c>
      <c r="H7">
        <f>D7/50</f>
        <v>1.26E-2</v>
      </c>
    </row>
    <row r="8" spans="1:8" x14ac:dyDescent="0.8">
      <c r="A8" t="s">
        <v>29</v>
      </c>
      <c r="B8" t="s">
        <v>30</v>
      </c>
      <c r="C8" t="s">
        <v>31</v>
      </c>
      <c r="D8" t="s">
        <v>32</v>
      </c>
      <c r="E8" s="1">
        <v>30</v>
      </c>
      <c r="F8" s="1">
        <v>50</v>
      </c>
      <c r="G8">
        <f>C8/50</f>
        <v>0.94743999999999995</v>
      </c>
      <c r="H8">
        <f>D8/50</f>
        <v>1.264E-2</v>
      </c>
    </row>
    <row r="9" spans="1:8" x14ac:dyDescent="0.8">
      <c r="A9" t="s">
        <v>33</v>
      </c>
      <c r="B9" t="s">
        <v>34</v>
      </c>
      <c r="C9" t="s">
        <v>35</v>
      </c>
      <c r="D9" t="s">
        <v>32</v>
      </c>
      <c r="E9" s="1">
        <v>30</v>
      </c>
      <c r="F9" s="1">
        <v>50</v>
      </c>
      <c r="G9">
        <f>C9/50</f>
        <v>0.96392</v>
      </c>
      <c r="H9">
        <f>D9/50</f>
        <v>1.264E-2</v>
      </c>
    </row>
    <row r="10" spans="1:8" x14ac:dyDescent="0.8">
      <c r="A10" t="s">
        <v>36</v>
      </c>
      <c r="B10" t="s">
        <v>37</v>
      </c>
      <c r="C10" t="s">
        <v>38</v>
      </c>
      <c r="D10" t="s">
        <v>39</v>
      </c>
      <c r="E10" s="1">
        <v>30</v>
      </c>
      <c r="F10" s="1">
        <v>50</v>
      </c>
      <c r="G10">
        <f>C10/50</f>
        <v>0.97360000000000002</v>
      </c>
      <c r="H10">
        <f>D10/50</f>
        <v>1.2659999999999999E-2</v>
      </c>
    </row>
    <row r="11" spans="1:8" x14ac:dyDescent="0.8">
      <c r="A11" t="s">
        <v>40</v>
      </c>
      <c r="B11" t="s">
        <v>41</v>
      </c>
      <c r="C11" t="s">
        <v>42</v>
      </c>
      <c r="D11" t="s">
        <v>39</v>
      </c>
      <c r="E11" s="1">
        <v>30</v>
      </c>
      <c r="F11" s="1">
        <v>50</v>
      </c>
      <c r="G11">
        <f>C11/50</f>
        <v>0.97927999999999993</v>
      </c>
      <c r="H11">
        <f>D11/50</f>
        <v>1.2659999999999999E-2</v>
      </c>
    </row>
    <row r="12" spans="1:8" x14ac:dyDescent="0.8">
      <c r="A12" t="s">
        <v>43</v>
      </c>
      <c r="B12" t="s">
        <v>44</v>
      </c>
      <c r="C12" t="s">
        <v>45</v>
      </c>
      <c r="D12" t="s">
        <v>39</v>
      </c>
      <c r="E12" s="1">
        <v>30</v>
      </c>
      <c r="F12" s="1">
        <v>50</v>
      </c>
      <c r="G12">
        <f>C12/50</f>
        <v>0.98260000000000003</v>
      </c>
      <c r="H12">
        <f>D12/50</f>
        <v>1.2659999999999999E-2</v>
      </c>
    </row>
    <row r="13" spans="1:8" x14ac:dyDescent="0.8">
      <c r="A13" t="s">
        <v>6</v>
      </c>
      <c r="B13" t="s">
        <v>46</v>
      </c>
      <c r="C13" t="s">
        <v>8</v>
      </c>
      <c r="D13" t="s">
        <v>8</v>
      </c>
      <c r="E13" s="1">
        <v>30</v>
      </c>
      <c r="F13" s="1">
        <v>100</v>
      </c>
      <c r="G13">
        <f>C13/100</f>
        <v>0</v>
      </c>
      <c r="H13">
        <f>D13/100</f>
        <v>0</v>
      </c>
    </row>
    <row r="14" spans="1:8" x14ac:dyDescent="0.8">
      <c r="A14" t="s">
        <v>9</v>
      </c>
      <c r="B14" t="s">
        <v>47</v>
      </c>
      <c r="C14" t="s">
        <v>48</v>
      </c>
      <c r="D14" t="s">
        <v>49</v>
      </c>
      <c r="E14" s="1">
        <v>30</v>
      </c>
      <c r="F14" s="1">
        <v>100</v>
      </c>
      <c r="G14">
        <f>C14/100</f>
        <v>0.40869</v>
      </c>
      <c r="H14">
        <f>D14/100</f>
        <v>1.6559999999999998E-2</v>
      </c>
    </row>
    <row r="15" spans="1:8" x14ac:dyDescent="0.8">
      <c r="A15" t="s">
        <v>13</v>
      </c>
      <c r="B15" t="s">
        <v>50</v>
      </c>
      <c r="C15" t="s">
        <v>51</v>
      </c>
      <c r="D15" t="s">
        <v>52</v>
      </c>
      <c r="E15" s="1">
        <v>30</v>
      </c>
      <c r="F15" s="1">
        <v>100</v>
      </c>
      <c r="G15">
        <f>C15/100</f>
        <v>0.64462999999999993</v>
      </c>
      <c r="H15">
        <f>D15/100</f>
        <v>2.2069999999999999E-2</v>
      </c>
    </row>
    <row r="16" spans="1:8" x14ac:dyDescent="0.8">
      <c r="A16" t="s">
        <v>17</v>
      </c>
      <c r="B16" t="s">
        <v>53</v>
      </c>
      <c r="C16" t="s">
        <v>54</v>
      </c>
      <c r="D16" t="s">
        <v>55</v>
      </c>
      <c r="E16" s="1">
        <v>30</v>
      </c>
      <c r="F16" s="1">
        <v>100</v>
      </c>
      <c r="G16">
        <f>C16/100</f>
        <v>0.78178999999999998</v>
      </c>
      <c r="H16">
        <f>D16/100</f>
        <v>2.3929999999999996E-2</v>
      </c>
    </row>
    <row r="17" spans="1:8" x14ac:dyDescent="0.8">
      <c r="A17" t="s">
        <v>21</v>
      </c>
      <c r="B17" t="s">
        <v>56</v>
      </c>
      <c r="C17" t="s">
        <v>57</v>
      </c>
      <c r="D17" t="s">
        <v>58</v>
      </c>
      <c r="E17" s="1">
        <v>30</v>
      </c>
      <c r="F17" s="1">
        <v>100</v>
      </c>
      <c r="G17">
        <f>C17/100</f>
        <v>0.86186000000000007</v>
      </c>
      <c r="H17">
        <f>D17/100</f>
        <v>2.4559999999999998E-2</v>
      </c>
    </row>
    <row r="18" spans="1:8" x14ac:dyDescent="0.8">
      <c r="A18" t="s">
        <v>25</v>
      </c>
      <c r="B18" t="s">
        <v>59</v>
      </c>
      <c r="C18" t="s">
        <v>60</v>
      </c>
      <c r="D18" t="s">
        <v>61</v>
      </c>
      <c r="E18" s="1">
        <v>30</v>
      </c>
      <c r="F18" s="1">
        <v>100</v>
      </c>
      <c r="G18">
        <f>C18/100</f>
        <v>0.90870000000000006</v>
      </c>
      <c r="H18">
        <f>D18/100</f>
        <v>2.4780000000000003E-2</v>
      </c>
    </row>
    <row r="19" spans="1:8" x14ac:dyDescent="0.8">
      <c r="A19" t="s">
        <v>29</v>
      </c>
      <c r="B19" t="s">
        <v>62</v>
      </c>
      <c r="C19" t="s">
        <v>63</v>
      </c>
      <c r="D19" t="s">
        <v>64</v>
      </c>
      <c r="E19" s="1">
        <v>30</v>
      </c>
      <c r="F19" s="1">
        <v>100</v>
      </c>
      <c r="G19">
        <f>C19/100</f>
        <v>0.93614999999999993</v>
      </c>
      <c r="H19">
        <f>D19/100</f>
        <v>2.4860000000000004E-2</v>
      </c>
    </row>
    <row r="20" spans="1:8" x14ac:dyDescent="0.8">
      <c r="A20" t="s">
        <v>33</v>
      </c>
      <c r="B20" t="s">
        <v>65</v>
      </c>
      <c r="C20" t="s">
        <v>66</v>
      </c>
      <c r="D20" t="s">
        <v>67</v>
      </c>
      <c r="E20" s="1">
        <v>30</v>
      </c>
      <c r="F20" s="1">
        <v>100</v>
      </c>
      <c r="G20">
        <f>C20/100</f>
        <v>0.95224999999999993</v>
      </c>
      <c r="H20">
        <f>D20/100</f>
        <v>2.4879999999999999E-2</v>
      </c>
    </row>
    <row r="21" spans="1:8" x14ac:dyDescent="0.8">
      <c r="A21" t="s">
        <v>36</v>
      </c>
      <c r="B21" t="s">
        <v>68</v>
      </c>
      <c r="C21" t="s">
        <v>69</v>
      </c>
      <c r="D21" t="s">
        <v>70</v>
      </c>
      <c r="E21" s="1">
        <v>30</v>
      </c>
      <c r="F21" s="1">
        <v>100</v>
      </c>
      <c r="G21">
        <f>C21/100</f>
        <v>0.96168999999999993</v>
      </c>
      <c r="H21">
        <f>D21/100</f>
        <v>2.4889999999999999E-2</v>
      </c>
    </row>
    <row r="22" spans="1:8" x14ac:dyDescent="0.8">
      <c r="A22" t="s">
        <v>40</v>
      </c>
      <c r="B22" t="s">
        <v>71</v>
      </c>
      <c r="C22" t="s">
        <v>72</v>
      </c>
      <c r="D22" t="s">
        <v>70</v>
      </c>
      <c r="E22" s="1">
        <v>30</v>
      </c>
      <c r="F22" s="1">
        <v>100</v>
      </c>
      <c r="G22">
        <f>C22/100</f>
        <v>0.96723000000000003</v>
      </c>
      <c r="H22">
        <f>D22/100</f>
        <v>2.4889999999999999E-2</v>
      </c>
    </row>
    <row r="23" spans="1:8" x14ac:dyDescent="0.8">
      <c r="A23" t="s">
        <v>43</v>
      </c>
      <c r="B23" t="s">
        <v>73</v>
      </c>
      <c r="C23" t="s">
        <v>74</v>
      </c>
      <c r="D23" t="s">
        <v>70</v>
      </c>
      <c r="E23" s="1">
        <v>30</v>
      </c>
      <c r="F23" s="1">
        <v>100</v>
      </c>
      <c r="G23">
        <f>C23/100</f>
        <v>0.97048000000000001</v>
      </c>
      <c r="H23">
        <f>D23/100</f>
        <v>2.4889999999999999E-2</v>
      </c>
    </row>
    <row r="24" spans="1:8" x14ac:dyDescent="0.8">
      <c r="A24" t="s">
        <v>6</v>
      </c>
      <c r="B24" t="s">
        <v>75</v>
      </c>
      <c r="C24" t="s">
        <v>8</v>
      </c>
      <c r="D24" t="s">
        <v>8</v>
      </c>
      <c r="E24" s="1">
        <v>30</v>
      </c>
      <c r="F24" s="1">
        <v>200</v>
      </c>
      <c r="G24">
        <f>C24/200</f>
        <v>0</v>
      </c>
      <c r="H24">
        <f>D24/200</f>
        <v>0</v>
      </c>
    </row>
    <row r="25" spans="1:8" x14ac:dyDescent="0.8">
      <c r="A25" t="s">
        <v>9</v>
      </c>
      <c r="B25" t="s">
        <v>76</v>
      </c>
      <c r="C25" t="s">
        <v>77</v>
      </c>
      <c r="D25" t="s">
        <v>78</v>
      </c>
      <c r="E25" s="1">
        <v>30</v>
      </c>
      <c r="F25" s="1">
        <v>200</v>
      </c>
      <c r="G25">
        <f>C25/200</f>
        <v>0.40454000000000001</v>
      </c>
      <c r="H25">
        <f>D25/200</f>
        <v>3.2500000000000001E-2</v>
      </c>
    </row>
    <row r="26" spans="1:8" x14ac:dyDescent="0.8">
      <c r="A26" t="s">
        <v>13</v>
      </c>
      <c r="B26" t="s">
        <v>79</v>
      </c>
      <c r="C26" t="s">
        <v>80</v>
      </c>
      <c r="D26" t="s">
        <v>81</v>
      </c>
      <c r="E26" s="1">
        <v>30</v>
      </c>
      <c r="F26" s="1">
        <v>200</v>
      </c>
      <c r="G26">
        <f>C26/200</f>
        <v>0.63431999999999999</v>
      </c>
      <c r="H26">
        <f>D26/200</f>
        <v>4.2969999999999994E-2</v>
      </c>
    </row>
    <row r="27" spans="1:8" x14ac:dyDescent="0.8">
      <c r="A27" t="s">
        <v>17</v>
      </c>
      <c r="B27" t="s">
        <v>82</v>
      </c>
      <c r="C27" t="s">
        <v>83</v>
      </c>
      <c r="D27" t="s">
        <v>84</v>
      </c>
      <c r="E27" s="1">
        <v>30</v>
      </c>
      <c r="F27" s="1">
        <v>200</v>
      </c>
      <c r="G27">
        <f>C27/200</f>
        <v>0.76669500000000002</v>
      </c>
      <c r="H27">
        <f>D27/200</f>
        <v>4.6440000000000002E-2</v>
      </c>
    </row>
    <row r="28" spans="1:8" x14ac:dyDescent="0.8">
      <c r="A28" t="s">
        <v>21</v>
      </c>
      <c r="B28" t="s">
        <v>85</v>
      </c>
      <c r="C28" t="s">
        <v>86</v>
      </c>
      <c r="D28" t="s">
        <v>87</v>
      </c>
      <c r="E28" s="1">
        <v>30</v>
      </c>
      <c r="F28" s="1">
        <v>200</v>
      </c>
      <c r="G28">
        <f>C28/200</f>
        <v>0.84355999999999998</v>
      </c>
      <c r="H28">
        <f>D28/200</f>
        <v>4.761E-2</v>
      </c>
    </row>
    <row r="29" spans="1:8" x14ac:dyDescent="0.8">
      <c r="A29" t="s">
        <v>25</v>
      </c>
      <c r="B29" t="s">
        <v>88</v>
      </c>
      <c r="C29" t="s">
        <v>89</v>
      </c>
      <c r="D29" t="s">
        <v>90</v>
      </c>
      <c r="E29" s="1">
        <v>30</v>
      </c>
      <c r="F29" s="1">
        <v>200</v>
      </c>
      <c r="G29">
        <f>C29/200</f>
        <v>0.88840000000000008</v>
      </c>
      <c r="H29">
        <f>D29/200</f>
        <v>4.8010000000000004E-2</v>
      </c>
    </row>
    <row r="30" spans="1:8" x14ac:dyDescent="0.8">
      <c r="A30" t="s">
        <v>29</v>
      </c>
      <c r="B30" t="s">
        <v>91</v>
      </c>
      <c r="C30" t="s">
        <v>92</v>
      </c>
      <c r="D30" t="s">
        <v>93</v>
      </c>
      <c r="E30" s="1">
        <v>30</v>
      </c>
      <c r="F30" s="1">
        <v>200</v>
      </c>
      <c r="G30">
        <f>C30/200</f>
        <v>0.91462500000000002</v>
      </c>
      <c r="H30">
        <f>D30/200</f>
        <v>4.8145E-2</v>
      </c>
    </row>
    <row r="31" spans="1:8" x14ac:dyDescent="0.8">
      <c r="A31" t="s">
        <v>33</v>
      </c>
      <c r="B31" t="s">
        <v>94</v>
      </c>
      <c r="C31" t="s">
        <v>95</v>
      </c>
      <c r="D31" t="s">
        <v>96</v>
      </c>
      <c r="E31" s="1">
        <v>30</v>
      </c>
      <c r="F31" s="1">
        <v>200</v>
      </c>
      <c r="G31">
        <f>C31/200</f>
        <v>0.92998999999999998</v>
      </c>
      <c r="H31">
        <f>D31/200</f>
        <v>4.8189999999999997E-2</v>
      </c>
    </row>
    <row r="32" spans="1:8" x14ac:dyDescent="0.8">
      <c r="A32" t="s">
        <v>36</v>
      </c>
      <c r="B32" t="s">
        <v>97</v>
      </c>
      <c r="C32" t="s">
        <v>98</v>
      </c>
      <c r="D32" t="s">
        <v>99</v>
      </c>
      <c r="E32" s="1">
        <v>30</v>
      </c>
      <c r="F32" s="1">
        <v>200</v>
      </c>
      <c r="G32">
        <f>C32/200</f>
        <v>0.93899500000000002</v>
      </c>
      <c r="H32">
        <f>D32/200</f>
        <v>4.8209999999999996E-2</v>
      </c>
    </row>
    <row r="33" spans="1:8" x14ac:dyDescent="0.8">
      <c r="A33" t="s">
        <v>40</v>
      </c>
      <c r="B33" t="s">
        <v>100</v>
      </c>
      <c r="C33" t="s">
        <v>101</v>
      </c>
      <c r="D33" t="s">
        <v>102</v>
      </c>
      <c r="E33" s="1">
        <v>30</v>
      </c>
      <c r="F33" s="1">
        <v>200</v>
      </c>
      <c r="G33">
        <f>C33/200</f>
        <v>0.94428000000000001</v>
      </c>
      <c r="H33">
        <f>D33/200</f>
        <v>4.8215000000000001E-2</v>
      </c>
    </row>
    <row r="34" spans="1:8" x14ac:dyDescent="0.8">
      <c r="A34" t="s">
        <v>43</v>
      </c>
      <c r="B34" t="s">
        <v>103</v>
      </c>
      <c r="C34" t="s">
        <v>104</v>
      </c>
      <c r="D34" t="s">
        <v>102</v>
      </c>
      <c r="E34" s="1">
        <v>30</v>
      </c>
      <c r="F34" s="1">
        <v>200</v>
      </c>
      <c r="G34">
        <f>C34/200</f>
        <v>0.94738</v>
      </c>
      <c r="H34">
        <f>D34/200</f>
        <v>4.8215000000000001E-2</v>
      </c>
    </row>
    <row r="35" spans="1:8" x14ac:dyDescent="0.8">
      <c r="A35" t="s">
        <v>6</v>
      </c>
      <c r="B35" t="s">
        <v>7</v>
      </c>
      <c r="C35" t="s">
        <v>8</v>
      </c>
      <c r="D35" t="s">
        <v>8</v>
      </c>
      <c r="E35" s="1">
        <v>40</v>
      </c>
      <c r="F35" s="1">
        <v>50</v>
      </c>
      <c r="G35">
        <f>C35/F35</f>
        <v>0</v>
      </c>
      <c r="H35">
        <f>D35/F35</f>
        <v>0</v>
      </c>
    </row>
    <row r="36" spans="1:8" x14ac:dyDescent="0.8">
      <c r="A36" t="s">
        <v>9</v>
      </c>
      <c r="B36" t="s">
        <v>105</v>
      </c>
      <c r="C36" t="s">
        <v>106</v>
      </c>
      <c r="D36" t="s">
        <v>107</v>
      </c>
      <c r="E36" s="1">
        <v>40</v>
      </c>
      <c r="F36" s="1">
        <v>50</v>
      </c>
      <c r="G36">
        <f>C36/F36</f>
        <v>0.44380000000000003</v>
      </c>
      <c r="H36">
        <f>D36/F36</f>
        <v>1.09E-2</v>
      </c>
    </row>
    <row r="37" spans="1:8" x14ac:dyDescent="0.8">
      <c r="A37">
        <v>1</v>
      </c>
      <c r="B37">
        <v>14.965</v>
      </c>
      <c r="C37">
        <v>34.328000000000003</v>
      </c>
      <c r="D37">
        <v>0.70699999999999996</v>
      </c>
      <c r="E37">
        <v>40</v>
      </c>
      <c r="F37">
        <v>50</v>
      </c>
      <c r="G37">
        <f>C37/F37</f>
        <v>0.68656000000000006</v>
      </c>
      <c r="H37">
        <f>D37/F37</f>
        <v>1.414E-2</v>
      </c>
    </row>
    <row r="38" spans="1:8" x14ac:dyDescent="0.8">
      <c r="A38">
        <v>1.5</v>
      </c>
      <c r="B38">
        <v>8.2420000000000009</v>
      </c>
      <c r="C38">
        <v>41.002000000000002</v>
      </c>
      <c r="D38">
        <v>0.75700000000000001</v>
      </c>
      <c r="E38">
        <v>40</v>
      </c>
      <c r="F38">
        <v>50</v>
      </c>
      <c r="G38">
        <f>C38/F38</f>
        <v>0.8200400000000001</v>
      </c>
      <c r="H38">
        <f>D38/F38</f>
        <v>1.5140000000000001E-2</v>
      </c>
    </row>
    <row r="39" spans="1:8" x14ac:dyDescent="0.8">
      <c r="A39">
        <v>2</v>
      </c>
      <c r="B39">
        <v>4.548</v>
      </c>
      <c r="C39">
        <v>44.680999999999997</v>
      </c>
      <c r="D39">
        <v>0.77200000000000002</v>
      </c>
      <c r="E39">
        <v>40</v>
      </c>
      <c r="F39">
        <v>50</v>
      </c>
      <c r="G39">
        <f>C39/F39</f>
        <v>0.89361999999999997</v>
      </c>
      <c r="H39">
        <f>D39/F39</f>
        <v>1.5440000000000001E-2</v>
      </c>
    </row>
    <row r="40" spans="1:8" x14ac:dyDescent="0.8">
      <c r="A40">
        <v>2.5</v>
      </c>
      <c r="B40">
        <v>2.512</v>
      </c>
      <c r="C40">
        <v>46.712000000000003</v>
      </c>
      <c r="D40">
        <v>0.77600000000000002</v>
      </c>
      <c r="E40">
        <v>40</v>
      </c>
      <c r="F40">
        <v>50</v>
      </c>
      <c r="G40">
        <f>C40/F40</f>
        <v>0.93424000000000007</v>
      </c>
      <c r="H40">
        <f>D40/F40</f>
        <v>1.5520000000000001E-2</v>
      </c>
    </row>
    <row r="41" spans="1:8" x14ac:dyDescent="0.8">
      <c r="A41">
        <v>3</v>
      </c>
      <c r="B41">
        <v>1.389</v>
      </c>
      <c r="C41">
        <v>47.834000000000003</v>
      </c>
      <c r="D41">
        <v>0.77800000000000002</v>
      </c>
      <c r="E41">
        <v>40</v>
      </c>
      <c r="F41">
        <v>50</v>
      </c>
      <c r="G41">
        <f>C41/F41</f>
        <v>0.95668000000000009</v>
      </c>
      <c r="H41">
        <f>D41/F41</f>
        <v>1.5560000000000001E-2</v>
      </c>
    </row>
    <row r="42" spans="1:8" x14ac:dyDescent="0.8">
      <c r="A42">
        <v>3.5</v>
      </c>
      <c r="B42">
        <v>0.76800000000000002</v>
      </c>
      <c r="C42">
        <v>48.454000000000001</v>
      </c>
      <c r="D42">
        <v>0.77800000000000002</v>
      </c>
      <c r="E42">
        <v>40</v>
      </c>
      <c r="F42">
        <v>50</v>
      </c>
      <c r="G42">
        <f>C42/F42</f>
        <v>0.96908000000000005</v>
      </c>
      <c r="H42">
        <f>D42/F42</f>
        <v>1.5560000000000001E-2</v>
      </c>
    </row>
    <row r="43" spans="1:8" x14ac:dyDescent="0.8">
      <c r="A43">
        <v>4</v>
      </c>
      <c r="B43">
        <v>0.42499999999999999</v>
      </c>
      <c r="C43">
        <v>48.796999999999997</v>
      </c>
      <c r="D43">
        <v>0.77800000000000002</v>
      </c>
      <c r="E43">
        <v>40</v>
      </c>
      <c r="F43">
        <v>50</v>
      </c>
      <c r="G43">
        <f>C43/F43</f>
        <v>0.97593999999999992</v>
      </c>
      <c r="H43">
        <f>D43/F43</f>
        <v>1.5560000000000001E-2</v>
      </c>
    </row>
    <row r="44" spans="1:8" x14ac:dyDescent="0.8">
      <c r="A44">
        <v>4.5</v>
      </c>
      <c r="B44">
        <v>0.23499999999999999</v>
      </c>
      <c r="C44">
        <v>48.987000000000002</v>
      </c>
      <c r="D44">
        <v>0.77800000000000002</v>
      </c>
      <c r="E44">
        <v>40</v>
      </c>
      <c r="F44">
        <v>50</v>
      </c>
      <c r="G44">
        <f>C44/F44</f>
        <v>0.97974000000000006</v>
      </c>
      <c r="H44">
        <f>D44/F44</f>
        <v>1.5560000000000001E-2</v>
      </c>
    </row>
    <row r="45" spans="1:8" x14ac:dyDescent="0.8">
      <c r="A45">
        <v>5</v>
      </c>
      <c r="B45">
        <v>0.13</v>
      </c>
      <c r="C45">
        <v>49.091999999999999</v>
      </c>
      <c r="D45">
        <v>0.77800000000000002</v>
      </c>
      <c r="E45">
        <v>40</v>
      </c>
      <c r="F45">
        <v>50</v>
      </c>
      <c r="G45">
        <f>C45/F45</f>
        <v>0.98183999999999994</v>
      </c>
      <c r="H45">
        <f>D45/F45</f>
        <v>1.5560000000000001E-2</v>
      </c>
    </row>
    <row r="46" spans="1:8" x14ac:dyDescent="0.8">
      <c r="A46">
        <v>0</v>
      </c>
      <c r="B46">
        <v>100</v>
      </c>
      <c r="C46">
        <v>0</v>
      </c>
      <c r="D46">
        <v>0</v>
      </c>
      <c r="E46">
        <v>40</v>
      </c>
      <c r="F46">
        <v>100</v>
      </c>
      <c r="G46">
        <f>C46/F46</f>
        <v>0</v>
      </c>
      <c r="H46">
        <f>D46/F46</f>
        <v>0</v>
      </c>
    </row>
    <row r="47" spans="1:8" x14ac:dyDescent="0.8">
      <c r="A47">
        <v>0.5</v>
      </c>
      <c r="B47">
        <v>53.774000000000001</v>
      </c>
      <c r="C47">
        <v>44.075000000000003</v>
      </c>
      <c r="D47">
        <v>2.1509999999999998</v>
      </c>
      <c r="E47">
        <v>40</v>
      </c>
      <c r="F47">
        <v>100</v>
      </c>
      <c r="G47">
        <f>C47/F47</f>
        <v>0.44075000000000003</v>
      </c>
      <c r="H47">
        <f>D47/F47</f>
        <v>2.1509999999999998E-2</v>
      </c>
    </row>
    <row r="48" spans="1:8" x14ac:dyDescent="0.8">
      <c r="A48">
        <v>1</v>
      </c>
      <c r="B48">
        <v>29.292999999999999</v>
      </c>
      <c r="C48">
        <v>67.927000000000007</v>
      </c>
      <c r="D48">
        <v>2.7810000000000001</v>
      </c>
      <c r="E48">
        <v>40</v>
      </c>
      <c r="F48">
        <v>100</v>
      </c>
      <c r="G48">
        <f>C48/F48</f>
        <v>0.67927000000000004</v>
      </c>
      <c r="H48">
        <f>D48/F48</f>
        <v>2.7810000000000001E-2</v>
      </c>
    </row>
    <row r="49" spans="1:8" x14ac:dyDescent="0.8">
      <c r="A49">
        <v>1.5</v>
      </c>
      <c r="B49">
        <v>16.068000000000001</v>
      </c>
      <c r="C49">
        <v>80.963999999999999</v>
      </c>
      <c r="D49">
        <v>2.968</v>
      </c>
      <c r="E49">
        <v>40</v>
      </c>
      <c r="F49">
        <v>100</v>
      </c>
      <c r="G49">
        <f>C49/F49</f>
        <v>0.80964000000000003</v>
      </c>
      <c r="H49">
        <f>D49/F49</f>
        <v>2.9679999999999998E-2</v>
      </c>
    </row>
    <row r="50" spans="1:8" x14ac:dyDescent="0.8">
      <c r="A50">
        <v>2</v>
      </c>
      <c r="B50">
        <v>8.8469999999999995</v>
      </c>
      <c r="C50">
        <v>88.128</v>
      </c>
      <c r="D50">
        <v>3.0249999999999999</v>
      </c>
      <c r="E50">
        <v>40</v>
      </c>
      <c r="F50">
        <v>100</v>
      </c>
      <c r="G50">
        <f>C50/F50</f>
        <v>0.88127999999999995</v>
      </c>
      <c r="H50">
        <f>D50/F50</f>
        <v>3.0249999999999999E-2</v>
      </c>
    </row>
    <row r="51" spans="1:8" x14ac:dyDescent="0.8">
      <c r="A51">
        <v>2.5</v>
      </c>
      <c r="B51">
        <v>4.8810000000000002</v>
      </c>
      <c r="C51">
        <v>92.076999999999998</v>
      </c>
      <c r="D51">
        <v>3.0419999999999998</v>
      </c>
      <c r="E51">
        <v>40</v>
      </c>
      <c r="F51">
        <v>100</v>
      </c>
      <c r="G51">
        <f>C51/F51</f>
        <v>0.92076999999999998</v>
      </c>
      <c r="H51">
        <f>D51/F51</f>
        <v>3.0419999999999999E-2</v>
      </c>
    </row>
    <row r="52" spans="1:8" x14ac:dyDescent="0.8">
      <c r="A52">
        <v>3</v>
      </c>
      <c r="B52">
        <v>2.6960000000000002</v>
      </c>
      <c r="C52">
        <v>94.257000000000005</v>
      </c>
      <c r="D52">
        <v>3.048</v>
      </c>
      <c r="E52">
        <v>40</v>
      </c>
      <c r="F52">
        <v>100</v>
      </c>
      <c r="G52">
        <f>C52/F52</f>
        <v>0.94257000000000002</v>
      </c>
      <c r="H52">
        <f>D52/F52</f>
        <v>3.048E-2</v>
      </c>
    </row>
    <row r="53" spans="1:8" x14ac:dyDescent="0.8">
      <c r="A53">
        <v>3.5</v>
      </c>
      <c r="B53">
        <v>1.49</v>
      </c>
      <c r="C53">
        <v>95.460999999999999</v>
      </c>
      <c r="D53">
        <v>3.0489999999999999</v>
      </c>
      <c r="E53">
        <v>40</v>
      </c>
      <c r="F53">
        <v>100</v>
      </c>
      <c r="G53">
        <f>C53/F53</f>
        <v>0.95460999999999996</v>
      </c>
      <c r="H53">
        <f>D53/F53</f>
        <v>3.049E-2</v>
      </c>
    </row>
    <row r="54" spans="1:8" x14ac:dyDescent="0.8">
      <c r="A54">
        <v>4</v>
      </c>
      <c r="B54">
        <v>0.82399999999999995</v>
      </c>
      <c r="C54">
        <v>96.126999999999995</v>
      </c>
      <c r="D54">
        <v>3.05</v>
      </c>
      <c r="E54">
        <v>40</v>
      </c>
      <c r="F54">
        <v>100</v>
      </c>
      <c r="G54">
        <f>C54/F54</f>
        <v>0.96126999999999996</v>
      </c>
      <c r="H54">
        <f>D54/F54</f>
        <v>3.0499999999999999E-2</v>
      </c>
    </row>
    <row r="55" spans="1:8" x14ac:dyDescent="0.8">
      <c r="A55">
        <v>4.5</v>
      </c>
      <c r="B55">
        <v>0.45600000000000002</v>
      </c>
      <c r="C55">
        <v>96.495000000000005</v>
      </c>
      <c r="D55">
        <v>3.05</v>
      </c>
      <c r="E55">
        <v>40</v>
      </c>
      <c r="F55">
        <v>100</v>
      </c>
      <c r="G55">
        <f>C55/F55</f>
        <v>0.96495000000000009</v>
      </c>
      <c r="H55">
        <f>D55/F55</f>
        <v>3.0499999999999999E-2</v>
      </c>
    </row>
    <row r="56" spans="1:8" x14ac:dyDescent="0.8">
      <c r="A56">
        <v>5</v>
      </c>
      <c r="B56">
        <v>0.252</v>
      </c>
      <c r="C56">
        <v>96.697999999999993</v>
      </c>
      <c r="D56">
        <v>3.05</v>
      </c>
      <c r="E56">
        <v>40</v>
      </c>
      <c r="F56">
        <v>100</v>
      </c>
      <c r="G56">
        <f>C56/F56</f>
        <v>0.96697999999999995</v>
      </c>
      <c r="H56">
        <f>D56/F56</f>
        <v>3.0499999999999999E-2</v>
      </c>
    </row>
    <row r="57" spans="1:8" x14ac:dyDescent="0.8">
      <c r="A57">
        <v>0</v>
      </c>
      <c r="B57">
        <v>200</v>
      </c>
      <c r="C57">
        <v>0</v>
      </c>
      <c r="D57">
        <v>0</v>
      </c>
      <c r="E57">
        <v>40</v>
      </c>
      <c r="F57">
        <v>200</v>
      </c>
      <c r="G57">
        <f>C57/F57</f>
        <v>0</v>
      </c>
      <c r="H57">
        <f>D57/F57</f>
        <v>0</v>
      </c>
    </row>
    <row r="58" spans="1:8" x14ac:dyDescent="0.8">
      <c r="A58">
        <v>0.5</v>
      </c>
      <c r="B58">
        <v>104.637</v>
      </c>
      <c r="C58">
        <v>86.963999999999999</v>
      </c>
      <c r="D58">
        <v>8.3989999999999991</v>
      </c>
      <c r="E58">
        <v>40</v>
      </c>
      <c r="F58">
        <v>200</v>
      </c>
      <c r="G58">
        <f>C58/F58</f>
        <v>0.43481999999999998</v>
      </c>
      <c r="H58">
        <f>D58/F58</f>
        <v>4.1994999999999998E-2</v>
      </c>
    </row>
    <row r="59" spans="1:8" x14ac:dyDescent="0.8">
      <c r="A59">
        <v>1</v>
      </c>
      <c r="B59">
        <v>56.195</v>
      </c>
      <c r="C59">
        <v>133.054</v>
      </c>
      <c r="D59">
        <v>10.752000000000001</v>
      </c>
      <c r="E59">
        <v>40</v>
      </c>
      <c r="F59">
        <v>200</v>
      </c>
      <c r="G59">
        <f>C59/F59</f>
        <v>0.66527000000000003</v>
      </c>
      <c r="H59">
        <f>D59/F59</f>
        <v>5.3760000000000002E-2</v>
      </c>
    </row>
    <row r="60" spans="1:8" x14ac:dyDescent="0.8">
      <c r="A60">
        <v>1.5</v>
      </c>
      <c r="B60">
        <v>30.591000000000001</v>
      </c>
      <c r="C60">
        <v>157.971</v>
      </c>
      <c r="D60">
        <v>11.439</v>
      </c>
      <c r="E60">
        <v>40</v>
      </c>
      <c r="F60">
        <v>200</v>
      </c>
      <c r="G60">
        <f>C60/F60</f>
        <v>0.78985499999999997</v>
      </c>
      <c r="H60">
        <f>D60/F60</f>
        <v>5.7195000000000003E-2</v>
      </c>
    </row>
    <row r="61" spans="1:8" x14ac:dyDescent="0.8">
      <c r="A61">
        <v>2</v>
      </c>
      <c r="B61">
        <v>16.773</v>
      </c>
      <c r="C61">
        <v>171.583</v>
      </c>
      <c r="D61">
        <v>11.643000000000001</v>
      </c>
      <c r="E61">
        <v>40</v>
      </c>
      <c r="F61">
        <v>200</v>
      </c>
      <c r="G61">
        <f>C61/F61</f>
        <v>0.85791499999999998</v>
      </c>
      <c r="H61">
        <f>D61/F61</f>
        <v>5.8215000000000003E-2</v>
      </c>
    </row>
    <row r="62" spans="1:8" x14ac:dyDescent="0.8">
      <c r="A62">
        <v>2.5</v>
      </c>
      <c r="B62">
        <v>9.2330000000000005</v>
      </c>
      <c r="C62">
        <v>179.06200000000001</v>
      </c>
      <c r="D62">
        <v>11.705</v>
      </c>
      <c r="E62">
        <v>40</v>
      </c>
      <c r="F62">
        <v>200</v>
      </c>
      <c r="G62">
        <f>C62/F62</f>
        <v>0.89531000000000005</v>
      </c>
      <c r="H62">
        <f>D62/F62</f>
        <v>5.8525000000000001E-2</v>
      </c>
    </row>
    <row r="63" spans="1:8" x14ac:dyDescent="0.8">
      <c r="A63">
        <v>3</v>
      </c>
      <c r="B63">
        <v>5.0940000000000003</v>
      </c>
      <c r="C63">
        <v>183.18299999999999</v>
      </c>
      <c r="D63">
        <v>11.724</v>
      </c>
      <c r="E63">
        <v>40</v>
      </c>
      <c r="F63">
        <v>200</v>
      </c>
      <c r="G63">
        <f>C63/F63</f>
        <v>0.91591499999999992</v>
      </c>
      <c r="H63">
        <f>D63/F63</f>
        <v>5.8619999999999998E-2</v>
      </c>
    </row>
    <row r="64" spans="1:8" x14ac:dyDescent="0.8">
      <c r="A64">
        <v>3.5</v>
      </c>
      <c r="B64">
        <v>2.8130000000000002</v>
      </c>
      <c r="C64">
        <v>185.45699999999999</v>
      </c>
      <c r="D64">
        <v>11.73</v>
      </c>
      <c r="E64">
        <v>40</v>
      </c>
      <c r="F64">
        <v>200</v>
      </c>
      <c r="G64">
        <f>C64/F64</f>
        <v>0.92728499999999991</v>
      </c>
      <c r="H64">
        <f>D64/F64</f>
        <v>5.8650000000000001E-2</v>
      </c>
    </row>
    <row r="65" spans="1:8" x14ac:dyDescent="0.8">
      <c r="A65">
        <v>4</v>
      </c>
      <c r="B65">
        <v>1.5549999999999999</v>
      </c>
      <c r="C65">
        <v>186.714</v>
      </c>
      <c r="D65">
        <v>11.731</v>
      </c>
      <c r="E65">
        <v>40</v>
      </c>
      <c r="F65">
        <v>200</v>
      </c>
      <c r="G65">
        <f>C65/F65</f>
        <v>0.93357000000000001</v>
      </c>
      <c r="H65">
        <f>D65/F65</f>
        <v>5.8654999999999999E-2</v>
      </c>
    </row>
    <row r="66" spans="1:8" x14ac:dyDescent="0.8">
      <c r="A66">
        <v>4.5</v>
      </c>
      <c r="B66">
        <v>0.86</v>
      </c>
      <c r="C66">
        <v>187.40899999999999</v>
      </c>
      <c r="D66">
        <v>11.731999999999999</v>
      </c>
      <c r="E66">
        <v>40</v>
      </c>
      <c r="F66">
        <v>200</v>
      </c>
      <c r="G66">
        <f>C66/F66</f>
        <v>0.93704499999999991</v>
      </c>
      <c r="H66">
        <f>D66/F66</f>
        <v>5.8659999999999997E-2</v>
      </c>
    </row>
    <row r="67" spans="1:8" x14ac:dyDescent="0.8">
      <c r="A67">
        <v>5</v>
      </c>
      <c r="B67">
        <v>0.47499999999999998</v>
      </c>
      <c r="C67">
        <v>187.79300000000001</v>
      </c>
      <c r="D67">
        <v>11.731999999999999</v>
      </c>
      <c r="E67">
        <v>40</v>
      </c>
      <c r="F67">
        <v>200</v>
      </c>
      <c r="G67">
        <f>C67/F67</f>
        <v>0.93896500000000005</v>
      </c>
      <c r="H67">
        <f>D67/F67</f>
        <v>5.8659999999999997E-2</v>
      </c>
    </row>
    <row r="68" spans="1:8" x14ac:dyDescent="0.8">
      <c r="A68">
        <v>0</v>
      </c>
      <c r="B68">
        <v>50</v>
      </c>
      <c r="C68">
        <v>0</v>
      </c>
      <c r="D68">
        <v>0</v>
      </c>
      <c r="E68">
        <v>50</v>
      </c>
      <c r="F68">
        <v>50</v>
      </c>
      <c r="G68">
        <f>C68/F68</f>
        <v>0</v>
      </c>
      <c r="H68">
        <f>D68/F68</f>
        <v>0</v>
      </c>
    </row>
    <row r="69" spans="1:8" x14ac:dyDescent="0.8">
      <c r="A69">
        <v>0.5</v>
      </c>
      <c r="B69">
        <v>25.2</v>
      </c>
      <c r="C69">
        <v>24.111000000000001</v>
      </c>
      <c r="D69">
        <v>0.68799999999999994</v>
      </c>
      <c r="E69">
        <v>50</v>
      </c>
      <c r="F69">
        <v>50</v>
      </c>
      <c r="G69">
        <f>C69/F69</f>
        <v>0.48222000000000004</v>
      </c>
      <c r="H69">
        <f>D69/F69</f>
        <v>1.376E-2</v>
      </c>
    </row>
    <row r="70" spans="1:8" x14ac:dyDescent="0.8">
      <c r="A70">
        <v>1</v>
      </c>
      <c r="B70">
        <v>12.817</v>
      </c>
      <c r="C70">
        <v>36.317999999999998</v>
      </c>
      <c r="D70">
        <v>0.86499999999999999</v>
      </c>
      <c r="E70">
        <v>50</v>
      </c>
      <c r="F70">
        <v>50</v>
      </c>
      <c r="G70">
        <f>C70/F70</f>
        <v>0.72636000000000001</v>
      </c>
      <c r="H70">
        <f>D70/F70</f>
        <v>1.7299999999999999E-2</v>
      </c>
    </row>
    <row r="71" spans="1:8" x14ac:dyDescent="0.8">
      <c r="A71">
        <v>1.5</v>
      </c>
      <c r="B71">
        <v>6.5490000000000004</v>
      </c>
      <c r="C71">
        <v>42.54</v>
      </c>
      <c r="D71">
        <v>0.91100000000000003</v>
      </c>
      <c r="E71">
        <v>50</v>
      </c>
      <c r="F71">
        <v>50</v>
      </c>
      <c r="G71">
        <f>C71/F71</f>
        <v>0.8508</v>
      </c>
      <c r="H71">
        <f>D71/F71</f>
        <v>1.822E-2</v>
      </c>
    </row>
    <row r="72" spans="1:8" x14ac:dyDescent="0.8">
      <c r="A72">
        <v>2</v>
      </c>
      <c r="B72">
        <v>3.3540000000000001</v>
      </c>
      <c r="C72">
        <v>45.723999999999997</v>
      </c>
      <c r="D72">
        <v>0.92300000000000004</v>
      </c>
      <c r="E72">
        <v>50</v>
      </c>
      <c r="F72">
        <v>50</v>
      </c>
      <c r="G72">
        <f>C72/F72</f>
        <v>0.91447999999999996</v>
      </c>
      <c r="H72">
        <f>D72/F72</f>
        <v>1.8460000000000001E-2</v>
      </c>
    </row>
    <row r="73" spans="1:8" x14ac:dyDescent="0.8">
      <c r="A73">
        <v>2.5</v>
      </c>
      <c r="B73">
        <v>1.72</v>
      </c>
      <c r="C73">
        <v>47.354999999999997</v>
      </c>
      <c r="D73">
        <v>0.92600000000000005</v>
      </c>
      <c r="E73">
        <v>50</v>
      </c>
      <c r="F73">
        <v>50</v>
      </c>
      <c r="G73">
        <f>C73/F73</f>
        <v>0.94709999999999994</v>
      </c>
      <c r="H73">
        <f>D73/F73</f>
        <v>1.8520000000000002E-2</v>
      </c>
    </row>
    <row r="74" spans="1:8" x14ac:dyDescent="0.8">
      <c r="A74">
        <v>3</v>
      </c>
      <c r="B74">
        <v>0.88200000000000001</v>
      </c>
      <c r="C74">
        <v>48.191000000000003</v>
      </c>
      <c r="D74">
        <v>0.92600000000000005</v>
      </c>
      <c r="E74">
        <v>50</v>
      </c>
      <c r="F74">
        <v>50</v>
      </c>
      <c r="G74">
        <f>C74/F74</f>
        <v>0.96382000000000001</v>
      </c>
      <c r="H74">
        <f>D74/F74</f>
        <v>1.8520000000000002E-2</v>
      </c>
    </row>
    <row r="75" spans="1:8" x14ac:dyDescent="0.8">
      <c r="A75">
        <v>3.5</v>
      </c>
      <c r="B75">
        <v>0.45300000000000001</v>
      </c>
      <c r="C75">
        <v>48.621000000000002</v>
      </c>
      <c r="D75">
        <v>0.92700000000000005</v>
      </c>
      <c r="E75">
        <v>50</v>
      </c>
      <c r="F75">
        <v>50</v>
      </c>
      <c r="G75">
        <f>C75/F75</f>
        <v>0.97242000000000006</v>
      </c>
      <c r="H75">
        <f>D75/F75</f>
        <v>1.8540000000000001E-2</v>
      </c>
    </row>
    <row r="76" spans="1:8" x14ac:dyDescent="0.8">
      <c r="A76">
        <v>4</v>
      </c>
      <c r="B76">
        <v>0.23300000000000001</v>
      </c>
      <c r="C76">
        <v>48.841000000000001</v>
      </c>
      <c r="D76">
        <v>0.92700000000000005</v>
      </c>
      <c r="E76">
        <v>50</v>
      </c>
      <c r="F76">
        <v>50</v>
      </c>
      <c r="G76">
        <f>C76/F76</f>
        <v>0.97682000000000002</v>
      </c>
      <c r="H76">
        <f>D76/F76</f>
        <v>1.8540000000000001E-2</v>
      </c>
    </row>
    <row r="77" spans="1:8" x14ac:dyDescent="0.8">
      <c r="A77">
        <v>4.5</v>
      </c>
      <c r="B77">
        <v>0.11899999999999999</v>
      </c>
      <c r="C77">
        <v>48.954000000000001</v>
      </c>
      <c r="D77">
        <v>0.92700000000000005</v>
      </c>
      <c r="E77">
        <v>50</v>
      </c>
      <c r="F77">
        <v>50</v>
      </c>
      <c r="G77">
        <f>C77/F77</f>
        <v>0.97908000000000006</v>
      </c>
      <c r="H77">
        <f>D77/F77</f>
        <v>1.8540000000000001E-2</v>
      </c>
    </row>
    <row r="78" spans="1:8" x14ac:dyDescent="0.8">
      <c r="A78">
        <v>5</v>
      </c>
      <c r="B78">
        <v>6.0999999999999999E-2</v>
      </c>
      <c r="C78">
        <v>49.012</v>
      </c>
      <c r="D78">
        <v>0.92700000000000005</v>
      </c>
      <c r="E78">
        <v>50</v>
      </c>
      <c r="F78">
        <v>50</v>
      </c>
      <c r="G78">
        <f>C78/F78</f>
        <v>0.98024</v>
      </c>
      <c r="H78">
        <f>D78/F78</f>
        <v>1.8540000000000001E-2</v>
      </c>
    </row>
    <row r="79" spans="1:8" x14ac:dyDescent="0.8">
      <c r="A79">
        <v>0</v>
      </c>
      <c r="B79">
        <v>100</v>
      </c>
      <c r="C79">
        <v>0</v>
      </c>
      <c r="D79">
        <v>0</v>
      </c>
      <c r="E79">
        <v>50</v>
      </c>
      <c r="F79">
        <v>100</v>
      </c>
      <c r="G79">
        <f>C79/F79</f>
        <v>0</v>
      </c>
      <c r="H79">
        <f>D79/F79</f>
        <v>0</v>
      </c>
    </row>
    <row r="80" spans="1:8" x14ac:dyDescent="0.8">
      <c r="A80">
        <v>0.5</v>
      </c>
      <c r="B80">
        <v>49.494999999999997</v>
      </c>
      <c r="C80">
        <v>47.793999999999997</v>
      </c>
      <c r="D80">
        <v>2.7109999999999999</v>
      </c>
      <c r="E80">
        <v>50</v>
      </c>
      <c r="F80">
        <v>100</v>
      </c>
      <c r="G80">
        <f>C80/F80</f>
        <v>0.47793999999999998</v>
      </c>
      <c r="H80">
        <f>D80/F80</f>
        <v>2.7109999999999999E-2</v>
      </c>
    </row>
    <row r="81" spans="1:8" x14ac:dyDescent="0.8">
      <c r="A81">
        <v>1</v>
      </c>
      <c r="B81">
        <v>24.951000000000001</v>
      </c>
      <c r="C81">
        <v>71.664000000000001</v>
      </c>
      <c r="D81">
        <v>3.3849999999999998</v>
      </c>
      <c r="E81">
        <v>50</v>
      </c>
      <c r="F81">
        <v>100</v>
      </c>
      <c r="G81">
        <f>C81/F81</f>
        <v>0.71664000000000005</v>
      </c>
      <c r="H81">
        <f>D81/F81</f>
        <v>3.3849999999999998E-2</v>
      </c>
    </row>
    <row r="82" spans="1:8" x14ac:dyDescent="0.8">
      <c r="A82">
        <v>1.5</v>
      </c>
      <c r="B82">
        <v>12.692</v>
      </c>
      <c r="C82">
        <v>83.75</v>
      </c>
      <c r="D82">
        <v>3.5579999999999998</v>
      </c>
      <c r="E82">
        <v>50</v>
      </c>
      <c r="F82">
        <v>100</v>
      </c>
      <c r="G82">
        <f>C82/F82</f>
        <v>0.83750000000000002</v>
      </c>
      <c r="H82">
        <f>D82/F82</f>
        <v>3.5580000000000001E-2</v>
      </c>
    </row>
    <row r="83" spans="1:8" x14ac:dyDescent="0.8">
      <c r="A83">
        <v>2</v>
      </c>
      <c r="B83">
        <v>6.4850000000000003</v>
      </c>
      <c r="C83">
        <v>89.912000000000006</v>
      </c>
      <c r="D83">
        <v>3.6030000000000002</v>
      </c>
      <c r="E83">
        <v>50</v>
      </c>
      <c r="F83">
        <v>100</v>
      </c>
      <c r="G83">
        <f>C83/F83</f>
        <v>0.89912000000000003</v>
      </c>
      <c r="H83">
        <f>D83/F83</f>
        <v>3.603E-2</v>
      </c>
    </row>
    <row r="84" spans="1:8" x14ac:dyDescent="0.8">
      <c r="A84">
        <v>2.5</v>
      </c>
      <c r="B84">
        <v>3.3210000000000002</v>
      </c>
      <c r="C84">
        <v>93.063999999999993</v>
      </c>
      <c r="D84">
        <v>3.6150000000000002</v>
      </c>
      <c r="E84">
        <v>50</v>
      </c>
      <c r="F84">
        <v>100</v>
      </c>
      <c r="G84">
        <f>C84/F84</f>
        <v>0.93063999999999991</v>
      </c>
      <c r="H84">
        <f>D84/F84</f>
        <v>3.6150000000000002E-2</v>
      </c>
    </row>
    <row r="85" spans="1:8" x14ac:dyDescent="0.8">
      <c r="A85">
        <v>3</v>
      </c>
      <c r="B85">
        <v>1.7030000000000001</v>
      </c>
      <c r="C85">
        <v>94.679000000000002</v>
      </c>
      <c r="D85">
        <v>3.6179999999999999</v>
      </c>
      <c r="E85">
        <v>50</v>
      </c>
      <c r="F85">
        <v>100</v>
      </c>
      <c r="G85">
        <f>C85/F85</f>
        <v>0.94679000000000002</v>
      </c>
      <c r="H85">
        <f>D85/F85</f>
        <v>3.6179999999999997E-2</v>
      </c>
    </row>
    <row r="86" spans="1:8" x14ac:dyDescent="0.8">
      <c r="A86">
        <v>3.5</v>
      </c>
      <c r="B86">
        <v>0.874</v>
      </c>
      <c r="C86">
        <v>95.507999999999996</v>
      </c>
      <c r="D86">
        <v>3.6190000000000002</v>
      </c>
      <c r="E86">
        <v>50</v>
      </c>
      <c r="F86">
        <v>100</v>
      </c>
      <c r="G86">
        <f>C86/F86</f>
        <v>0.95507999999999993</v>
      </c>
      <c r="H86">
        <f>D86/F86</f>
        <v>3.619E-2</v>
      </c>
    </row>
    <row r="87" spans="1:8" x14ac:dyDescent="0.8">
      <c r="A87">
        <v>4</v>
      </c>
      <c r="B87">
        <v>0.44800000000000001</v>
      </c>
      <c r="C87">
        <v>95.933000000000007</v>
      </c>
      <c r="D87">
        <v>3.6190000000000002</v>
      </c>
      <c r="E87">
        <v>50</v>
      </c>
      <c r="F87">
        <v>100</v>
      </c>
      <c r="G87">
        <f>C87/F87</f>
        <v>0.95933000000000002</v>
      </c>
      <c r="H87">
        <f>D87/F87</f>
        <v>3.619E-2</v>
      </c>
    </row>
    <row r="88" spans="1:8" x14ac:dyDescent="0.8">
      <c r="A88">
        <v>4.5</v>
      </c>
      <c r="B88">
        <v>0.23</v>
      </c>
      <c r="C88">
        <v>96.150999999999996</v>
      </c>
      <c r="D88">
        <v>3.6190000000000002</v>
      </c>
      <c r="E88">
        <v>50</v>
      </c>
      <c r="F88">
        <v>100</v>
      </c>
      <c r="G88">
        <f>C88/F88</f>
        <v>0.96150999999999998</v>
      </c>
      <c r="H88">
        <f>D88/F88</f>
        <v>3.619E-2</v>
      </c>
    </row>
    <row r="89" spans="1:8" x14ac:dyDescent="0.8">
      <c r="A89">
        <v>5</v>
      </c>
      <c r="B89">
        <v>0.11799999999999999</v>
      </c>
      <c r="C89">
        <v>96.263000000000005</v>
      </c>
      <c r="D89">
        <v>3.6190000000000002</v>
      </c>
      <c r="E89">
        <v>50</v>
      </c>
      <c r="F89">
        <v>100</v>
      </c>
      <c r="G89">
        <f>C89/F89</f>
        <v>0.9626300000000001</v>
      </c>
      <c r="H89">
        <f>D89/F89</f>
        <v>3.619E-2</v>
      </c>
    </row>
    <row r="90" spans="1:8" x14ac:dyDescent="0.8">
      <c r="A90">
        <v>0</v>
      </c>
      <c r="B90">
        <v>200</v>
      </c>
      <c r="C90">
        <v>0</v>
      </c>
      <c r="D90">
        <v>0</v>
      </c>
      <c r="E90">
        <v>50</v>
      </c>
      <c r="F90">
        <v>200</v>
      </c>
      <c r="G90">
        <f>C90/F90</f>
        <v>0</v>
      </c>
      <c r="H90">
        <f>D90/F90</f>
        <v>0</v>
      </c>
    </row>
    <row r="91" spans="1:8" x14ac:dyDescent="0.8">
      <c r="A91">
        <v>0.5</v>
      </c>
      <c r="B91">
        <v>95.552999999999997</v>
      </c>
      <c r="C91">
        <v>93.933999999999997</v>
      </c>
      <c r="D91">
        <v>10.513</v>
      </c>
      <c r="E91">
        <v>50</v>
      </c>
      <c r="F91">
        <v>200</v>
      </c>
      <c r="G91">
        <f>C91/F91</f>
        <v>0.46966999999999998</v>
      </c>
      <c r="H91">
        <f>D91/F91</f>
        <v>5.2565000000000001E-2</v>
      </c>
    </row>
    <row r="92" spans="1:8" x14ac:dyDescent="0.8">
      <c r="A92">
        <v>1</v>
      </c>
      <c r="B92">
        <v>47.37</v>
      </c>
      <c r="C92">
        <v>139.63900000000001</v>
      </c>
      <c r="D92">
        <v>12.992000000000001</v>
      </c>
      <c r="E92">
        <v>50</v>
      </c>
      <c r="F92">
        <v>200</v>
      </c>
      <c r="G92">
        <f>C92/F92</f>
        <v>0.69819500000000001</v>
      </c>
      <c r="H92">
        <f>D92/F92</f>
        <v>6.4960000000000004E-2</v>
      </c>
    </row>
    <row r="93" spans="1:8" x14ac:dyDescent="0.8">
      <c r="A93">
        <v>1.5</v>
      </c>
      <c r="B93">
        <v>23.898</v>
      </c>
      <c r="C93">
        <v>162.49199999999999</v>
      </c>
      <c r="D93">
        <v>13.61</v>
      </c>
      <c r="E93">
        <v>50</v>
      </c>
      <c r="F93">
        <v>200</v>
      </c>
      <c r="G93">
        <f>C93/F93</f>
        <v>0.81245999999999996</v>
      </c>
      <c r="H93">
        <f>D93/F93</f>
        <v>6.8049999999999999E-2</v>
      </c>
    </row>
    <row r="94" spans="1:8" x14ac:dyDescent="0.8">
      <c r="A94">
        <v>2</v>
      </c>
      <c r="B94">
        <v>12.161</v>
      </c>
      <c r="C94">
        <v>174.071</v>
      </c>
      <c r="D94">
        <v>13.769</v>
      </c>
      <c r="E94">
        <v>50</v>
      </c>
      <c r="F94">
        <v>200</v>
      </c>
      <c r="G94">
        <f>C94/F94</f>
        <v>0.87035499999999999</v>
      </c>
      <c r="H94">
        <f>D94/F94</f>
        <v>6.8845000000000003E-2</v>
      </c>
    </row>
    <row r="95" spans="1:8" x14ac:dyDescent="0.8">
      <c r="A95">
        <v>2.5</v>
      </c>
      <c r="B95">
        <v>6.2149999999999999</v>
      </c>
      <c r="C95">
        <v>179.97499999999999</v>
      </c>
      <c r="D95">
        <v>13.81</v>
      </c>
      <c r="E95">
        <v>50</v>
      </c>
      <c r="F95">
        <v>200</v>
      </c>
      <c r="G95">
        <f>C95/F95</f>
        <v>0.89987499999999998</v>
      </c>
      <c r="H95">
        <f>D95/F95</f>
        <v>6.905E-2</v>
      </c>
    </row>
    <row r="96" spans="1:8" x14ac:dyDescent="0.8">
      <c r="A96">
        <v>3</v>
      </c>
      <c r="B96">
        <v>3.1829999999999998</v>
      </c>
      <c r="C96">
        <v>182.99600000000001</v>
      </c>
      <c r="D96">
        <v>13.821</v>
      </c>
      <c r="E96">
        <v>50</v>
      </c>
      <c r="F96">
        <v>200</v>
      </c>
      <c r="G96">
        <f>C96/F96</f>
        <v>0.91498000000000002</v>
      </c>
      <c r="H96">
        <f>D96/F96</f>
        <v>6.9105E-2</v>
      </c>
    </row>
    <row r="97" spans="1:8" x14ac:dyDescent="0.8">
      <c r="A97">
        <v>3.5</v>
      </c>
      <c r="B97">
        <v>1.6319999999999999</v>
      </c>
      <c r="C97">
        <v>184.54400000000001</v>
      </c>
      <c r="D97">
        <v>13.824</v>
      </c>
      <c r="E97">
        <v>50</v>
      </c>
      <c r="F97">
        <v>200</v>
      </c>
      <c r="G97">
        <f>C97/F97</f>
        <v>0.9227200000000001</v>
      </c>
      <c r="H97">
        <f>D97/F97</f>
        <v>6.9120000000000001E-2</v>
      </c>
    </row>
    <row r="98" spans="1:8" x14ac:dyDescent="0.8">
      <c r="A98">
        <v>4</v>
      </c>
      <c r="B98">
        <v>0.83799999999999997</v>
      </c>
      <c r="C98">
        <v>185.33799999999999</v>
      </c>
      <c r="D98">
        <v>13.824</v>
      </c>
      <c r="E98">
        <v>50</v>
      </c>
      <c r="F98">
        <v>200</v>
      </c>
      <c r="G98">
        <f>C98/F98</f>
        <v>0.92669000000000001</v>
      </c>
      <c r="H98">
        <f>D98/F98</f>
        <v>6.9120000000000001E-2</v>
      </c>
    </row>
    <row r="99" spans="1:8" x14ac:dyDescent="0.8">
      <c r="A99">
        <v>4.5</v>
      </c>
      <c r="B99">
        <v>0.43</v>
      </c>
      <c r="C99">
        <v>185.74600000000001</v>
      </c>
      <c r="D99">
        <v>13.824999999999999</v>
      </c>
      <c r="E99">
        <v>50</v>
      </c>
      <c r="F99">
        <v>200</v>
      </c>
      <c r="G99">
        <f>C99/F99</f>
        <v>0.92873000000000006</v>
      </c>
      <c r="H99">
        <f>D99/F99</f>
        <v>6.9124999999999992E-2</v>
      </c>
    </row>
    <row r="100" spans="1:8" x14ac:dyDescent="0.8">
      <c r="A100">
        <v>5</v>
      </c>
      <c r="B100">
        <v>0.221</v>
      </c>
      <c r="C100">
        <v>185.95500000000001</v>
      </c>
      <c r="D100">
        <v>13.824999999999999</v>
      </c>
      <c r="E100">
        <v>50</v>
      </c>
      <c r="F100">
        <v>200</v>
      </c>
      <c r="G100">
        <f>C100/F100</f>
        <v>0.92977500000000002</v>
      </c>
      <c r="H100">
        <f>D100/F100</f>
        <v>6.9124999999999992E-2</v>
      </c>
    </row>
    <row r="101" spans="1:8" x14ac:dyDescent="0.8">
      <c r="A101">
        <v>0</v>
      </c>
      <c r="B101">
        <v>50</v>
      </c>
      <c r="C101">
        <v>0</v>
      </c>
      <c r="D101">
        <v>0</v>
      </c>
      <c r="E101">
        <v>60</v>
      </c>
      <c r="F101">
        <v>50</v>
      </c>
      <c r="G101">
        <f>C101/F101</f>
        <v>0</v>
      </c>
      <c r="H101">
        <f>D101/F101</f>
        <v>0</v>
      </c>
    </row>
    <row r="102" spans="1:8" x14ac:dyDescent="0.8">
      <c r="A102">
        <v>0.5</v>
      </c>
      <c r="B102">
        <v>18.169</v>
      </c>
      <c r="C102">
        <v>31.111000000000001</v>
      </c>
      <c r="D102">
        <v>0.72</v>
      </c>
      <c r="E102">
        <v>60</v>
      </c>
      <c r="F102">
        <v>50</v>
      </c>
      <c r="G102">
        <f>C102/F102</f>
        <v>0.62222</v>
      </c>
      <c r="H102">
        <f>D102/F102</f>
        <v>1.44E-2</v>
      </c>
    </row>
    <row r="103" spans="1:8" x14ac:dyDescent="0.8">
      <c r="A103">
        <v>1</v>
      </c>
      <c r="B103">
        <v>6.6929999999999996</v>
      </c>
      <c r="C103">
        <v>42.491999999999997</v>
      </c>
      <c r="D103">
        <v>0.81599999999999995</v>
      </c>
      <c r="E103">
        <v>60</v>
      </c>
      <c r="F103">
        <v>50</v>
      </c>
      <c r="G103">
        <f>C103/F103</f>
        <v>0.84983999999999993</v>
      </c>
      <c r="H103">
        <f>D103/F103</f>
        <v>1.6319999999999998E-2</v>
      </c>
    </row>
    <row r="104" spans="1:8" x14ac:dyDescent="0.8">
      <c r="A104">
        <v>1.5</v>
      </c>
      <c r="B104">
        <v>2.4769999999999999</v>
      </c>
      <c r="C104">
        <v>46.694000000000003</v>
      </c>
      <c r="D104">
        <v>0.82899999999999996</v>
      </c>
      <c r="E104">
        <v>60</v>
      </c>
      <c r="F104">
        <v>50</v>
      </c>
      <c r="G104">
        <f>C104/F104</f>
        <v>0.93388000000000004</v>
      </c>
      <c r="H104">
        <f>D104/F104</f>
        <v>1.6579999999999998E-2</v>
      </c>
    </row>
    <row r="105" spans="1:8" x14ac:dyDescent="0.8">
      <c r="A105">
        <v>2</v>
      </c>
      <c r="B105">
        <v>0.91900000000000004</v>
      </c>
      <c r="C105">
        <v>48.250999999999998</v>
      </c>
      <c r="D105">
        <v>0.83099999999999996</v>
      </c>
      <c r="E105">
        <v>60</v>
      </c>
      <c r="F105">
        <v>50</v>
      </c>
      <c r="G105">
        <f>C105/F105</f>
        <v>0.96501999999999999</v>
      </c>
      <c r="H105">
        <f>D105/F105</f>
        <v>1.6619999999999999E-2</v>
      </c>
    </row>
    <row r="106" spans="1:8" x14ac:dyDescent="0.8">
      <c r="A106">
        <v>2.5</v>
      </c>
      <c r="B106">
        <v>0.34100000000000003</v>
      </c>
      <c r="C106">
        <v>48.828000000000003</v>
      </c>
      <c r="D106">
        <v>0.83099999999999996</v>
      </c>
      <c r="E106">
        <v>60</v>
      </c>
      <c r="F106">
        <v>50</v>
      </c>
      <c r="G106">
        <f>C106/F106</f>
        <v>0.97656000000000009</v>
      </c>
      <c r="H106">
        <f>D106/F106</f>
        <v>1.6619999999999999E-2</v>
      </c>
    </row>
    <row r="107" spans="1:8" x14ac:dyDescent="0.8">
      <c r="A107">
        <v>3</v>
      </c>
      <c r="B107">
        <v>0.127</v>
      </c>
      <c r="C107">
        <v>49.042999999999999</v>
      </c>
      <c r="D107">
        <v>0.83099999999999996</v>
      </c>
      <c r="E107">
        <v>60</v>
      </c>
      <c r="F107">
        <v>50</v>
      </c>
      <c r="G107">
        <f>C107/F107</f>
        <v>0.98085999999999995</v>
      </c>
      <c r="H107">
        <f>D107/F107</f>
        <v>1.6619999999999999E-2</v>
      </c>
    </row>
    <row r="108" spans="1:8" x14ac:dyDescent="0.8">
      <c r="A108">
        <v>3.5</v>
      </c>
      <c r="B108">
        <v>4.7E-2</v>
      </c>
      <c r="C108">
        <v>49.122</v>
      </c>
      <c r="D108">
        <v>0.83099999999999996</v>
      </c>
      <c r="E108">
        <v>60</v>
      </c>
      <c r="F108">
        <v>50</v>
      </c>
      <c r="G108">
        <f>C108/F108</f>
        <v>0.98243999999999998</v>
      </c>
      <c r="H108">
        <f>D108/F108</f>
        <v>1.6619999999999999E-2</v>
      </c>
    </row>
    <row r="109" spans="1:8" x14ac:dyDescent="0.8">
      <c r="A109">
        <v>4</v>
      </c>
      <c r="B109">
        <v>1.7000000000000001E-2</v>
      </c>
      <c r="C109">
        <v>49.152000000000001</v>
      </c>
      <c r="D109">
        <v>0.83099999999999996</v>
      </c>
      <c r="E109">
        <v>60</v>
      </c>
      <c r="F109">
        <v>50</v>
      </c>
      <c r="G109">
        <f>C109/F109</f>
        <v>0.98304000000000002</v>
      </c>
      <c r="H109">
        <f>D109/F109</f>
        <v>1.6619999999999999E-2</v>
      </c>
    </row>
    <row r="110" spans="1:8" x14ac:dyDescent="0.8">
      <c r="A110">
        <v>4.5</v>
      </c>
      <c r="B110">
        <v>7.0000000000000001E-3</v>
      </c>
      <c r="C110">
        <v>49.162999999999997</v>
      </c>
      <c r="D110">
        <v>0.83099999999999996</v>
      </c>
      <c r="E110">
        <v>60</v>
      </c>
      <c r="F110">
        <v>50</v>
      </c>
      <c r="G110">
        <f>C110/F110</f>
        <v>0.98325999999999991</v>
      </c>
      <c r="H110">
        <f>D110/F110</f>
        <v>1.6619999999999999E-2</v>
      </c>
    </row>
    <row r="111" spans="1:8" x14ac:dyDescent="0.8">
      <c r="A111">
        <v>5</v>
      </c>
      <c r="B111">
        <v>2E-3</v>
      </c>
      <c r="C111">
        <v>49.167000000000002</v>
      </c>
      <c r="D111">
        <v>0.83099999999999996</v>
      </c>
      <c r="E111">
        <v>60</v>
      </c>
      <c r="F111">
        <v>50</v>
      </c>
      <c r="G111">
        <f>C111/F111</f>
        <v>0.98333999999999999</v>
      </c>
      <c r="H111">
        <f>D111/F111</f>
        <v>1.6619999999999999E-2</v>
      </c>
    </row>
    <row r="112" spans="1:8" x14ac:dyDescent="0.8">
      <c r="A112">
        <v>0</v>
      </c>
      <c r="B112">
        <v>100</v>
      </c>
      <c r="C112">
        <v>0</v>
      </c>
      <c r="D112">
        <v>0</v>
      </c>
      <c r="E112">
        <v>60</v>
      </c>
      <c r="F112">
        <v>100</v>
      </c>
      <c r="G112">
        <f>C112/F112</f>
        <v>0</v>
      </c>
      <c r="H112">
        <f>D112/F112</f>
        <v>0</v>
      </c>
    </row>
    <row r="113" spans="1:8" x14ac:dyDescent="0.8">
      <c r="A113">
        <v>0.5</v>
      </c>
      <c r="B113">
        <v>35.585999999999999</v>
      </c>
      <c r="C113">
        <v>61.585000000000001</v>
      </c>
      <c r="D113">
        <v>2.83</v>
      </c>
      <c r="E113">
        <v>60</v>
      </c>
      <c r="F113">
        <v>100</v>
      </c>
      <c r="G113">
        <f>C113/F113</f>
        <v>0.61585000000000001</v>
      </c>
      <c r="H113">
        <f>D113/F113</f>
        <v>2.8300000000000002E-2</v>
      </c>
    </row>
    <row r="114" spans="1:8" x14ac:dyDescent="0.8">
      <c r="A114">
        <v>1</v>
      </c>
      <c r="B114">
        <v>13.010999999999999</v>
      </c>
      <c r="C114">
        <v>83.793000000000006</v>
      </c>
      <c r="D114">
        <v>3.1960000000000002</v>
      </c>
      <c r="E114">
        <v>60</v>
      </c>
      <c r="F114">
        <v>100</v>
      </c>
      <c r="G114">
        <f>C114/F114</f>
        <v>0.83793000000000006</v>
      </c>
      <c r="H114">
        <f>D114/F114</f>
        <v>3.1960000000000002E-2</v>
      </c>
    </row>
    <row r="115" spans="1:8" x14ac:dyDescent="0.8">
      <c r="A115">
        <v>1.5</v>
      </c>
      <c r="B115">
        <v>4.8029999999999999</v>
      </c>
      <c r="C115">
        <v>91.951999999999998</v>
      </c>
      <c r="D115">
        <v>3.2450000000000001</v>
      </c>
      <c r="E115">
        <v>60</v>
      </c>
      <c r="F115">
        <v>100</v>
      </c>
      <c r="G115">
        <f>C115/F115</f>
        <v>0.91952</v>
      </c>
      <c r="H115">
        <f>D115/F115</f>
        <v>3.245E-2</v>
      </c>
    </row>
    <row r="116" spans="1:8" x14ac:dyDescent="0.8">
      <c r="A116">
        <v>2</v>
      </c>
      <c r="B116">
        <v>1.7789999999999999</v>
      </c>
      <c r="C116">
        <v>94.968999999999994</v>
      </c>
      <c r="D116">
        <v>3.2519999999999998</v>
      </c>
      <c r="E116">
        <v>60</v>
      </c>
      <c r="F116">
        <v>100</v>
      </c>
      <c r="G116">
        <f>C116/F116</f>
        <v>0.94968999999999992</v>
      </c>
      <c r="H116">
        <f>D116/F116</f>
        <v>3.252E-2</v>
      </c>
    </row>
    <row r="117" spans="1:8" x14ac:dyDescent="0.8">
      <c r="A117">
        <v>2.5</v>
      </c>
      <c r="B117">
        <v>0.66</v>
      </c>
      <c r="C117">
        <v>96.087000000000003</v>
      </c>
      <c r="D117">
        <v>3.2530000000000001</v>
      </c>
      <c r="E117">
        <v>60</v>
      </c>
      <c r="F117">
        <v>100</v>
      </c>
      <c r="G117">
        <f>C117/F117</f>
        <v>0.96087</v>
      </c>
      <c r="H117">
        <f>D117/F117</f>
        <v>3.2530000000000003E-2</v>
      </c>
    </row>
    <row r="118" spans="1:8" x14ac:dyDescent="0.8">
      <c r="A118">
        <v>3</v>
      </c>
      <c r="B118">
        <v>0.245</v>
      </c>
      <c r="C118">
        <v>96.501999999999995</v>
      </c>
      <c r="D118">
        <v>3.2530000000000001</v>
      </c>
      <c r="E118">
        <v>60</v>
      </c>
      <c r="F118">
        <v>100</v>
      </c>
      <c r="G118">
        <f>C118/F118</f>
        <v>0.96501999999999999</v>
      </c>
      <c r="H118">
        <f>D118/F118</f>
        <v>3.2530000000000003E-2</v>
      </c>
    </row>
    <row r="119" spans="1:8" x14ac:dyDescent="0.8">
      <c r="A119">
        <v>3.5</v>
      </c>
      <c r="B119">
        <v>9.0999999999999998E-2</v>
      </c>
      <c r="C119">
        <v>96.656000000000006</v>
      </c>
      <c r="D119">
        <v>3.2530000000000001</v>
      </c>
      <c r="E119">
        <v>60</v>
      </c>
      <c r="F119">
        <v>100</v>
      </c>
      <c r="G119">
        <f>C119/F119</f>
        <v>0.96656000000000009</v>
      </c>
      <c r="H119">
        <f>D119/F119</f>
        <v>3.2530000000000003E-2</v>
      </c>
    </row>
    <row r="120" spans="1:8" x14ac:dyDescent="0.8">
      <c r="A120">
        <v>4</v>
      </c>
      <c r="B120">
        <v>3.4000000000000002E-2</v>
      </c>
      <c r="C120">
        <v>96.712999999999994</v>
      </c>
      <c r="D120">
        <v>3.2530000000000001</v>
      </c>
      <c r="E120">
        <v>60</v>
      </c>
      <c r="F120">
        <v>100</v>
      </c>
      <c r="G120">
        <f>C120/F120</f>
        <v>0.96712999999999993</v>
      </c>
      <c r="H120">
        <f>D120/F120</f>
        <v>3.2530000000000003E-2</v>
      </c>
    </row>
    <row r="121" spans="1:8" x14ac:dyDescent="0.8">
      <c r="A121">
        <v>4.5</v>
      </c>
      <c r="B121">
        <v>1.2999999999999999E-2</v>
      </c>
      <c r="C121">
        <v>96.733999999999995</v>
      </c>
      <c r="D121">
        <v>3.2530000000000001</v>
      </c>
      <c r="E121">
        <v>60</v>
      </c>
      <c r="F121">
        <v>100</v>
      </c>
      <c r="G121">
        <f>C121/F121</f>
        <v>0.96733999999999998</v>
      </c>
      <c r="H121">
        <f>D121/F121</f>
        <v>3.2530000000000003E-2</v>
      </c>
    </row>
    <row r="122" spans="1:8" x14ac:dyDescent="0.8">
      <c r="A122">
        <v>5</v>
      </c>
      <c r="B122">
        <v>5.0000000000000001E-3</v>
      </c>
      <c r="C122">
        <v>96.742000000000004</v>
      </c>
      <c r="D122">
        <v>3.2530000000000001</v>
      </c>
      <c r="E122">
        <v>60</v>
      </c>
      <c r="F122">
        <v>100</v>
      </c>
      <c r="G122">
        <f>C122/F122</f>
        <v>0.96742000000000006</v>
      </c>
      <c r="H122">
        <f>D122/F122</f>
        <v>3.2530000000000003E-2</v>
      </c>
    </row>
    <row r="123" spans="1:8" x14ac:dyDescent="0.8">
      <c r="A123">
        <v>0</v>
      </c>
      <c r="B123">
        <v>200</v>
      </c>
      <c r="C123">
        <v>0</v>
      </c>
      <c r="D123">
        <v>0</v>
      </c>
      <c r="E123">
        <v>60</v>
      </c>
      <c r="F123">
        <v>200</v>
      </c>
      <c r="G123">
        <f>C123/F123</f>
        <v>0</v>
      </c>
      <c r="H123">
        <f>D123/F123</f>
        <v>0</v>
      </c>
    </row>
    <row r="124" spans="1:8" x14ac:dyDescent="0.8">
      <c r="A124">
        <v>0.5</v>
      </c>
      <c r="B124">
        <v>68.337000000000003</v>
      </c>
      <c r="C124">
        <v>120.718</v>
      </c>
      <c r="D124">
        <v>10.945</v>
      </c>
      <c r="E124">
        <v>60</v>
      </c>
      <c r="F124">
        <v>200</v>
      </c>
      <c r="G124">
        <f>C124/F124</f>
        <v>0.60359000000000007</v>
      </c>
      <c r="H124">
        <f>D124/F124</f>
        <v>5.4725000000000003E-2</v>
      </c>
    </row>
    <row r="125" spans="1:8" x14ac:dyDescent="0.8">
      <c r="A125">
        <v>1</v>
      </c>
      <c r="B125">
        <v>24.641999999999999</v>
      </c>
      <c r="C125">
        <v>163.078</v>
      </c>
      <c r="D125">
        <v>12.281000000000001</v>
      </c>
      <c r="E125">
        <v>60</v>
      </c>
      <c r="F125">
        <v>200</v>
      </c>
      <c r="G125">
        <f>C125/F125</f>
        <v>0.81539000000000006</v>
      </c>
      <c r="H125">
        <f>D125/F125</f>
        <v>6.1405000000000001E-2</v>
      </c>
    </row>
    <row r="126" spans="1:8" x14ac:dyDescent="0.8">
      <c r="A126">
        <v>1.5</v>
      </c>
      <c r="B126">
        <v>9.0519999999999996</v>
      </c>
      <c r="C126">
        <v>178.49100000000001</v>
      </c>
      <c r="D126">
        <v>12.457000000000001</v>
      </c>
      <c r="E126">
        <v>60</v>
      </c>
      <c r="F126">
        <v>200</v>
      </c>
      <c r="G126">
        <f>C126/F126</f>
        <v>0.89245500000000011</v>
      </c>
      <c r="H126">
        <f>D126/F126</f>
        <v>6.2285000000000007E-2</v>
      </c>
    </row>
    <row r="127" spans="1:8" x14ac:dyDescent="0.8">
      <c r="A127">
        <v>2</v>
      </c>
      <c r="B127">
        <v>3.347</v>
      </c>
      <c r="C127">
        <v>184.172</v>
      </c>
      <c r="D127">
        <v>12.481</v>
      </c>
      <c r="E127">
        <v>60</v>
      </c>
      <c r="F127">
        <v>200</v>
      </c>
      <c r="G127">
        <f>C127/F127</f>
        <v>0.92086000000000001</v>
      </c>
      <c r="H127">
        <f>D127/F127</f>
        <v>6.2405000000000002E-2</v>
      </c>
    </row>
    <row r="128" spans="1:8" x14ac:dyDescent="0.8">
      <c r="A128">
        <v>2.5</v>
      </c>
      <c r="B128">
        <v>1.2410000000000001</v>
      </c>
      <c r="C128">
        <v>186.27500000000001</v>
      </c>
      <c r="D128">
        <v>12.484</v>
      </c>
      <c r="E128">
        <v>60</v>
      </c>
      <c r="F128">
        <v>200</v>
      </c>
      <c r="G128">
        <f>C128/F128</f>
        <v>0.93137500000000006</v>
      </c>
      <c r="H128">
        <f>D128/F128</f>
        <v>6.2420000000000003E-2</v>
      </c>
    </row>
    <row r="129" spans="1:8" x14ac:dyDescent="0.8">
      <c r="A129">
        <v>3</v>
      </c>
      <c r="B129">
        <v>0.46</v>
      </c>
      <c r="C129">
        <v>187.05500000000001</v>
      </c>
      <c r="D129">
        <v>12.484999999999999</v>
      </c>
      <c r="E129">
        <v>60</v>
      </c>
      <c r="F129">
        <v>200</v>
      </c>
      <c r="G129">
        <f>C129/F129</f>
        <v>0.93527500000000008</v>
      </c>
      <c r="H129">
        <f>D129/F129</f>
        <v>6.2424999999999994E-2</v>
      </c>
    </row>
    <row r="130" spans="1:8" x14ac:dyDescent="0.8">
      <c r="A130">
        <v>3.5</v>
      </c>
      <c r="B130">
        <v>0.17100000000000001</v>
      </c>
      <c r="C130">
        <v>187.34399999999999</v>
      </c>
      <c r="D130">
        <v>12.484999999999999</v>
      </c>
      <c r="E130">
        <v>60</v>
      </c>
      <c r="F130">
        <v>200</v>
      </c>
      <c r="G130">
        <f>C130/F130</f>
        <v>0.93672</v>
      </c>
      <c r="H130">
        <f>D130/F130</f>
        <v>6.2424999999999994E-2</v>
      </c>
    </row>
    <row r="131" spans="1:8" x14ac:dyDescent="0.8">
      <c r="A131">
        <v>4</v>
      </c>
      <c r="B131">
        <v>6.3E-2</v>
      </c>
      <c r="C131">
        <v>187.452</v>
      </c>
      <c r="D131">
        <v>12.484999999999999</v>
      </c>
      <c r="E131">
        <v>60</v>
      </c>
      <c r="F131">
        <v>200</v>
      </c>
      <c r="G131">
        <f>C131/F131</f>
        <v>0.93725999999999998</v>
      </c>
      <c r="H131">
        <f>D131/F131</f>
        <v>6.2424999999999994E-2</v>
      </c>
    </row>
    <row r="132" spans="1:8" x14ac:dyDescent="0.8">
      <c r="A132">
        <v>4.5</v>
      </c>
      <c r="B132">
        <v>2.4E-2</v>
      </c>
      <c r="C132">
        <v>187.49199999999999</v>
      </c>
      <c r="D132">
        <v>12.484999999999999</v>
      </c>
      <c r="E132">
        <v>60</v>
      </c>
      <c r="F132">
        <v>200</v>
      </c>
      <c r="G132">
        <f>C132/F132</f>
        <v>0.93745999999999996</v>
      </c>
      <c r="H132">
        <f>D132/F132</f>
        <v>6.2424999999999994E-2</v>
      </c>
    </row>
    <row r="133" spans="1:8" x14ac:dyDescent="0.8">
      <c r="A133">
        <v>5</v>
      </c>
      <c r="B133">
        <v>8.9999999999999993E-3</v>
      </c>
      <c r="C133">
        <v>187.506</v>
      </c>
      <c r="D133">
        <v>12.484999999999999</v>
      </c>
      <c r="E133">
        <v>60</v>
      </c>
      <c r="F133">
        <v>200</v>
      </c>
      <c r="G133">
        <f>C133/F133</f>
        <v>0.93752999999999997</v>
      </c>
      <c r="H133">
        <f>D133/F133</f>
        <v>6.2424999999999994E-2</v>
      </c>
    </row>
    <row r="134" spans="1:8" x14ac:dyDescent="0.8">
      <c r="A134">
        <v>0</v>
      </c>
      <c r="B134">
        <v>50</v>
      </c>
      <c r="C134">
        <v>0</v>
      </c>
      <c r="D134">
        <v>0</v>
      </c>
      <c r="E134">
        <v>70</v>
      </c>
      <c r="F134">
        <v>50</v>
      </c>
      <c r="G134">
        <f>C134/F134</f>
        <v>0</v>
      </c>
      <c r="H134">
        <f>D134/F134</f>
        <v>0</v>
      </c>
    </row>
    <row r="135" spans="1:8" x14ac:dyDescent="0.8">
      <c r="A135">
        <v>0.5</v>
      </c>
      <c r="B135">
        <v>8.1110000000000007</v>
      </c>
      <c r="C135">
        <v>41.296999999999997</v>
      </c>
      <c r="D135">
        <v>0.59199999999999997</v>
      </c>
      <c r="E135">
        <v>70</v>
      </c>
      <c r="F135">
        <v>50</v>
      </c>
      <c r="G135">
        <f>C135/F135</f>
        <v>0.8259399999999999</v>
      </c>
      <c r="H135">
        <f>D135/F135</f>
        <v>1.184E-2</v>
      </c>
    </row>
    <row r="136" spans="1:8" x14ac:dyDescent="0.8">
      <c r="A136">
        <v>1</v>
      </c>
      <c r="B136">
        <v>1.339</v>
      </c>
      <c r="C136">
        <v>48.052999999999997</v>
      </c>
      <c r="D136">
        <v>0.60799999999999998</v>
      </c>
      <c r="E136">
        <v>70</v>
      </c>
      <c r="F136">
        <v>50</v>
      </c>
      <c r="G136">
        <f>C136/F136</f>
        <v>0.96105999999999991</v>
      </c>
      <c r="H136">
        <f>D136/F136</f>
        <v>1.2159999999999999E-2</v>
      </c>
    </row>
    <row r="137" spans="1:8" x14ac:dyDescent="0.8">
      <c r="A137">
        <v>1.5</v>
      </c>
      <c r="B137">
        <v>0.222</v>
      </c>
      <c r="C137">
        <v>49.17</v>
      </c>
      <c r="D137">
        <v>0.60799999999999998</v>
      </c>
      <c r="E137">
        <v>70</v>
      </c>
      <c r="F137">
        <v>50</v>
      </c>
      <c r="G137">
        <f>C137/F137</f>
        <v>0.98340000000000005</v>
      </c>
      <c r="H137">
        <f>D137/F137</f>
        <v>1.2159999999999999E-2</v>
      </c>
    </row>
    <row r="138" spans="1:8" x14ac:dyDescent="0.8">
      <c r="A138">
        <v>2</v>
      </c>
      <c r="B138">
        <v>3.6999999999999998E-2</v>
      </c>
      <c r="C138">
        <v>49.354999999999997</v>
      </c>
      <c r="D138">
        <v>0.60799999999999998</v>
      </c>
      <c r="E138">
        <v>70</v>
      </c>
      <c r="F138">
        <v>50</v>
      </c>
      <c r="G138">
        <f>C138/F138</f>
        <v>0.98709999999999998</v>
      </c>
      <c r="H138">
        <f>D138/F138</f>
        <v>1.2159999999999999E-2</v>
      </c>
    </row>
    <row r="139" spans="1:8" x14ac:dyDescent="0.8">
      <c r="A139">
        <v>2.5</v>
      </c>
      <c r="B139">
        <v>6.0000000000000001E-3</v>
      </c>
      <c r="C139">
        <v>49.386000000000003</v>
      </c>
      <c r="D139">
        <v>0.60799999999999998</v>
      </c>
      <c r="E139">
        <v>70</v>
      </c>
      <c r="F139">
        <v>50</v>
      </c>
      <c r="G139">
        <f>C139/F139</f>
        <v>0.98772000000000004</v>
      </c>
      <c r="H139">
        <f>D139/F139</f>
        <v>1.2159999999999999E-2</v>
      </c>
    </row>
    <row r="140" spans="1:8" x14ac:dyDescent="0.8">
      <c r="A140">
        <v>3</v>
      </c>
      <c r="B140">
        <v>1E-3</v>
      </c>
      <c r="C140">
        <v>49.390999999999998</v>
      </c>
      <c r="D140">
        <v>0.60799999999999998</v>
      </c>
      <c r="E140">
        <v>70</v>
      </c>
      <c r="F140">
        <v>50</v>
      </c>
      <c r="G140">
        <f>C140/F140</f>
        <v>0.98781999999999992</v>
      </c>
      <c r="H140">
        <f>D140/F140</f>
        <v>1.2159999999999999E-2</v>
      </c>
    </row>
    <row r="141" spans="1:8" x14ac:dyDescent="0.8">
      <c r="A141">
        <v>3.5</v>
      </c>
      <c r="B141">
        <v>0</v>
      </c>
      <c r="C141">
        <v>49.390999999999998</v>
      </c>
      <c r="D141">
        <v>0.60799999999999998</v>
      </c>
      <c r="E141">
        <v>70</v>
      </c>
      <c r="F141">
        <v>50</v>
      </c>
      <c r="G141">
        <f>C141/F141</f>
        <v>0.98781999999999992</v>
      </c>
      <c r="H141">
        <f>D141/F141</f>
        <v>1.2159999999999999E-2</v>
      </c>
    </row>
    <row r="142" spans="1:8" x14ac:dyDescent="0.8">
      <c r="A142">
        <v>4</v>
      </c>
      <c r="B142">
        <v>0</v>
      </c>
      <c r="C142">
        <v>49.392000000000003</v>
      </c>
      <c r="D142">
        <v>0.60799999999999998</v>
      </c>
      <c r="E142">
        <v>70</v>
      </c>
      <c r="F142">
        <v>50</v>
      </c>
      <c r="G142">
        <f>C142/F142</f>
        <v>0.98784000000000005</v>
      </c>
      <c r="H142">
        <f>D142/F142</f>
        <v>1.2159999999999999E-2</v>
      </c>
    </row>
    <row r="143" spans="1:8" x14ac:dyDescent="0.8">
      <c r="A143">
        <v>4.5</v>
      </c>
      <c r="B143">
        <v>0</v>
      </c>
      <c r="C143">
        <v>49.392000000000003</v>
      </c>
      <c r="D143">
        <v>0.60799999999999998</v>
      </c>
      <c r="E143">
        <v>70</v>
      </c>
      <c r="F143">
        <v>50</v>
      </c>
      <c r="G143">
        <f>C143/F143</f>
        <v>0.98784000000000005</v>
      </c>
      <c r="H143">
        <f>D143/F143</f>
        <v>1.2159999999999999E-2</v>
      </c>
    </row>
    <row r="144" spans="1:8" x14ac:dyDescent="0.8">
      <c r="A144">
        <v>5</v>
      </c>
      <c r="B144">
        <v>0</v>
      </c>
      <c r="C144">
        <v>49.392000000000003</v>
      </c>
      <c r="D144">
        <v>0.60799999999999998</v>
      </c>
      <c r="E144">
        <v>70</v>
      </c>
      <c r="F144">
        <v>50</v>
      </c>
      <c r="G144">
        <f>C144/F144</f>
        <v>0.98784000000000005</v>
      </c>
      <c r="H144">
        <f>D144/F144</f>
        <v>1.2159999999999999E-2</v>
      </c>
    </row>
    <row r="145" spans="1:8" x14ac:dyDescent="0.8">
      <c r="A145">
        <v>0</v>
      </c>
      <c r="B145">
        <v>100</v>
      </c>
      <c r="C145">
        <v>0</v>
      </c>
      <c r="D145">
        <v>0</v>
      </c>
      <c r="E145">
        <v>70</v>
      </c>
      <c r="F145">
        <v>100</v>
      </c>
      <c r="G145">
        <f>C145/F145</f>
        <v>0</v>
      </c>
      <c r="H145">
        <f>D145/F145</f>
        <v>0</v>
      </c>
    </row>
    <row r="146" spans="1:8" x14ac:dyDescent="0.8">
      <c r="A146">
        <v>0.5</v>
      </c>
      <c r="B146">
        <v>15.894</v>
      </c>
      <c r="C146">
        <v>81.772999999999996</v>
      </c>
      <c r="D146">
        <v>2.3340000000000001</v>
      </c>
      <c r="E146">
        <v>70</v>
      </c>
      <c r="F146">
        <v>100</v>
      </c>
      <c r="G146">
        <f>C146/F146</f>
        <v>0.81772999999999996</v>
      </c>
      <c r="H146">
        <f>D146/F146</f>
        <v>2.334E-2</v>
      </c>
    </row>
    <row r="147" spans="1:8" x14ac:dyDescent="0.8">
      <c r="A147">
        <v>1</v>
      </c>
      <c r="B147">
        <v>2.6150000000000002</v>
      </c>
      <c r="C147">
        <v>94.991</v>
      </c>
      <c r="D147">
        <v>2.3940000000000001</v>
      </c>
      <c r="E147">
        <v>70</v>
      </c>
      <c r="F147">
        <v>100</v>
      </c>
      <c r="G147">
        <f>C147/F147</f>
        <v>0.94991000000000003</v>
      </c>
      <c r="H147">
        <f>D147/F147</f>
        <v>2.3940000000000003E-2</v>
      </c>
    </row>
    <row r="148" spans="1:8" x14ac:dyDescent="0.8">
      <c r="A148">
        <v>1.5</v>
      </c>
      <c r="B148">
        <v>0.433</v>
      </c>
      <c r="C148">
        <v>97.171999999999997</v>
      </c>
      <c r="D148">
        <v>2.3959999999999999</v>
      </c>
      <c r="E148">
        <v>70</v>
      </c>
      <c r="F148">
        <v>100</v>
      </c>
      <c r="G148">
        <f>C148/F148</f>
        <v>0.97171999999999992</v>
      </c>
      <c r="H148">
        <f>D148/F148</f>
        <v>2.3959999999999999E-2</v>
      </c>
    </row>
    <row r="149" spans="1:8" x14ac:dyDescent="0.8">
      <c r="A149">
        <v>2</v>
      </c>
      <c r="B149">
        <v>7.1999999999999995E-2</v>
      </c>
      <c r="C149">
        <v>97.533000000000001</v>
      </c>
      <c r="D149">
        <v>2.3959999999999999</v>
      </c>
      <c r="E149">
        <v>70</v>
      </c>
      <c r="F149">
        <v>100</v>
      </c>
      <c r="G149">
        <f>C149/F149</f>
        <v>0.97533000000000003</v>
      </c>
      <c r="H149">
        <f>D149/F149</f>
        <v>2.3959999999999999E-2</v>
      </c>
    </row>
    <row r="150" spans="1:8" x14ac:dyDescent="0.8">
      <c r="A150">
        <v>2.5</v>
      </c>
      <c r="B150">
        <v>1.2E-2</v>
      </c>
      <c r="C150">
        <v>97.593000000000004</v>
      </c>
      <c r="D150">
        <v>2.3959999999999999</v>
      </c>
      <c r="E150">
        <v>70</v>
      </c>
      <c r="F150">
        <v>100</v>
      </c>
      <c r="G150">
        <f>C150/F150</f>
        <v>0.97593000000000008</v>
      </c>
      <c r="H150">
        <f>D150/F150</f>
        <v>2.3959999999999999E-2</v>
      </c>
    </row>
    <row r="151" spans="1:8" x14ac:dyDescent="0.8">
      <c r="A151">
        <v>3</v>
      </c>
      <c r="B151">
        <v>2E-3</v>
      </c>
      <c r="C151">
        <v>97.602000000000004</v>
      </c>
      <c r="D151">
        <v>2.3959999999999999</v>
      </c>
      <c r="E151">
        <v>70</v>
      </c>
      <c r="F151">
        <v>100</v>
      </c>
      <c r="G151">
        <f>C151/F151</f>
        <v>0.97602</v>
      </c>
      <c r="H151">
        <f>D151/F151</f>
        <v>2.3959999999999999E-2</v>
      </c>
    </row>
    <row r="152" spans="1:8" x14ac:dyDescent="0.8">
      <c r="A152">
        <v>3.5</v>
      </c>
      <c r="B152">
        <v>0</v>
      </c>
      <c r="C152">
        <v>97.603999999999999</v>
      </c>
      <c r="D152">
        <v>2.3959999999999999</v>
      </c>
      <c r="E152">
        <v>70</v>
      </c>
      <c r="F152">
        <v>100</v>
      </c>
      <c r="G152">
        <f>C152/F152</f>
        <v>0.97604000000000002</v>
      </c>
      <c r="H152">
        <f>D152/F152</f>
        <v>2.3959999999999999E-2</v>
      </c>
    </row>
    <row r="153" spans="1:8" x14ac:dyDescent="0.8">
      <c r="A153">
        <v>4</v>
      </c>
      <c r="B153">
        <v>0</v>
      </c>
      <c r="C153">
        <v>97.603999999999999</v>
      </c>
      <c r="D153">
        <v>2.3959999999999999</v>
      </c>
      <c r="E153">
        <v>70</v>
      </c>
      <c r="F153">
        <v>100</v>
      </c>
      <c r="G153">
        <f>C153/F153</f>
        <v>0.97604000000000002</v>
      </c>
      <c r="H153">
        <f>D153/F153</f>
        <v>2.3959999999999999E-2</v>
      </c>
    </row>
    <row r="154" spans="1:8" x14ac:dyDescent="0.8">
      <c r="A154">
        <v>4.5</v>
      </c>
      <c r="B154">
        <v>0</v>
      </c>
      <c r="C154">
        <v>97.603999999999999</v>
      </c>
      <c r="D154">
        <v>2.3959999999999999</v>
      </c>
      <c r="E154">
        <v>70</v>
      </c>
      <c r="F154">
        <v>100</v>
      </c>
      <c r="G154">
        <f>C154/F154</f>
        <v>0.97604000000000002</v>
      </c>
      <c r="H154">
        <f>D154/F154</f>
        <v>2.3959999999999999E-2</v>
      </c>
    </row>
    <row r="155" spans="1:8" x14ac:dyDescent="0.8">
      <c r="A155">
        <v>5</v>
      </c>
      <c r="B155">
        <v>0</v>
      </c>
      <c r="C155">
        <v>97.603999999999999</v>
      </c>
      <c r="D155">
        <v>2.3959999999999999</v>
      </c>
      <c r="E155">
        <v>70</v>
      </c>
      <c r="F155">
        <v>100</v>
      </c>
      <c r="G155">
        <f>C155/F155</f>
        <v>0.97604000000000002</v>
      </c>
      <c r="H155">
        <f>D155/F155</f>
        <v>2.3959999999999999E-2</v>
      </c>
    </row>
    <row r="156" spans="1:8" x14ac:dyDescent="0.8">
      <c r="A156">
        <v>0</v>
      </c>
      <c r="B156">
        <v>200</v>
      </c>
      <c r="C156">
        <v>0</v>
      </c>
      <c r="D156">
        <v>0</v>
      </c>
      <c r="E156">
        <v>70</v>
      </c>
      <c r="F156">
        <v>200</v>
      </c>
      <c r="G156">
        <f>C156/F156</f>
        <v>0</v>
      </c>
      <c r="H156">
        <f>D156/F156</f>
        <v>0</v>
      </c>
    </row>
    <row r="157" spans="1:8" x14ac:dyDescent="0.8">
      <c r="A157">
        <v>0.5</v>
      </c>
      <c r="B157">
        <v>30.550999999999998</v>
      </c>
      <c r="C157">
        <v>160.38300000000001</v>
      </c>
      <c r="D157">
        <v>9.0660000000000007</v>
      </c>
      <c r="E157">
        <v>70</v>
      </c>
      <c r="F157">
        <v>200</v>
      </c>
      <c r="G157">
        <f>C157/F157</f>
        <v>0.80191500000000004</v>
      </c>
      <c r="H157">
        <f>D157/F157</f>
        <v>4.5330000000000002E-2</v>
      </c>
    </row>
    <row r="158" spans="1:8" x14ac:dyDescent="0.8">
      <c r="A158">
        <v>1</v>
      </c>
      <c r="B158">
        <v>4.9960000000000004</v>
      </c>
      <c r="C158">
        <v>185.71600000000001</v>
      </c>
      <c r="D158">
        <v>9.2880000000000003</v>
      </c>
      <c r="E158">
        <v>70</v>
      </c>
      <c r="F158">
        <v>200</v>
      </c>
      <c r="G158">
        <f>C158/F158</f>
        <v>0.92858000000000007</v>
      </c>
      <c r="H158">
        <f>D158/F158</f>
        <v>4.6440000000000002E-2</v>
      </c>
    </row>
    <row r="159" spans="1:8" x14ac:dyDescent="0.8">
      <c r="A159">
        <v>1.5</v>
      </c>
      <c r="B159">
        <v>0.82599999999999996</v>
      </c>
      <c r="C159">
        <v>189.88</v>
      </c>
      <c r="D159">
        <v>9.2940000000000005</v>
      </c>
      <c r="E159">
        <v>70</v>
      </c>
      <c r="F159">
        <v>200</v>
      </c>
      <c r="G159">
        <f>C159/F159</f>
        <v>0.94940000000000002</v>
      </c>
      <c r="H159">
        <f>D159/F159</f>
        <v>4.6470000000000004E-2</v>
      </c>
    </row>
    <row r="160" spans="1:8" x14ac:dyDescent="0.8">
      <c r="A160">
        <v>2</v>
      </c>
      <c r="B160">
        <v>0.13700000000000001</v>
      </c>
      <c r="C160">
        <v>190.56899999999999</v>
      </c>
      <c r="D160">
        <v>9.2940000000000005</v>
      </c>
      <c r="E160">
        <v>70</v>
      </c>
      <c r="F160">
        <v>200</v>
      </c>
      <c r="G160">
        <f>C160/F160</f>
        <v>0.95284499999999994</v>
      </c>
      <c r="H160">
        <f>D160/F160</f>
        <v>4.6470000000000004E-2</v>
      </c>
    </row>
    <row r="161" spans="1:8" x14ac:dyDescent="0.8">
      <c r="A161">
        <v>2.5</v>
      </c>
      <c r="B161">
        <v>2.3E-2</v>
      </c>
      <c r="C161">
        <v>190.68299999999999</v>
      </c>
      <c r="D161">
        <v>9.2940000000000005</v>
      </c>
      <c r="E161">
        <v>70</v>
      </c>
      <c r="F161">
        <v>200</v>
      </c>
      <c r="G161">
        <f>C161/F161</f>
        <v>0.95341500000000001</v>
      </c>
      <c r="H161">
        <f>D161/F161</f>
        <v>4.6470000000000004E-2</v>
      </c>
    </row>
    <row r="162" spans="1:8" x14ac:dyDescent="0.8">
      <c r="A162">
        <v>3</v>
      </c>
      <c r="B162">
        <v>4.0000000000000001E-3</v>
      </c>
      <c r="C162">
        <v>190.702</v>
      </c>
      <c r="D162">
        <v>9.2940000000000005</v>
      </c>
      <c r="E162">
        <v>70</v>
      </c>
      <c r="F162">
        <v>200</v>
      </c>
      <c r="G162">
        <f>C162/F162</f>
        <v>0.95350999999999997</v>
      </c>
      <c r="H162">
        <f>D162/F162</f>
        <v>4.6470000000000004E-2</v>
      </c>
    </row>
    <row r="163" spans="1:8" x14ac:dyDescent="0.8">
      <c r="A163">
        <v>3.5</v>
      </c>
      <c r="B163">
        <v>1E-3</v>
      </c>
      <c r="C163">
        <v>190.70500000000001</v>
      </c>
      <c r="D163">
        <v>9.2940000000000005</v>
      </c>
      <c r="E163">
        <v>70</v>
      </c>
      <c r="F163">
        <v>200</v>
      </c>
      <c r="G163">
        <f>C163/F163</f>
        <v>0.95352500000000007</v>
      </c>
      <c r="H163">
        <f>D163/F163</f>
        <v>4.6470000000000004E-2</v>
      </c>
    </row>
    <row r="164" spans="1:8" x14ac:dyDescent="0.8">
      <c r="A164">
        <v>4</v>
      </c>
      <c r="B164">
        <v>0</v>
      </c>
      <c r="C164">
        <v>190.70599999999999</v>
      </c>
      <c r="D164">
        <v>9.2940000000000005</v>
      </c>
      <c r="E164">
        <v>70</v>
      </c>
      <c r="F164">
        <v>200</v>
      </c>
      <c r="G164">
        <f>C164/F164</f>
        <v>0.95352999999999999</v>
      </c>
      <c r="H164">
        <f>D164/F164</f>
        <v>4.6470000000000004E-2</v>
      </c>
    </row>
    <row r="165" spans="1:8" x14ac:dyDescent="0.8">
      <c r="A165">
        <v>4.5</v>
      </c>
      <c r="B165">
        <v>0</v>
      </c>
      <c r="C165">
        <v>190.70599999999999</v>
      </c>
      <c r="D165">
        <v>9.2940000000000005</v>
      </c>
      <c r="E165">
        <v>70</v>
      </c>
      <c r="F165">
        <v>200</v>
      </c>
      <c r="G165">
        <f>C165/F165</f>
        <v>0.95352999999999999</v>
      </c>
      <c r="H165">
        <f>D165/F165</f>
        <v>4.6470000000000004E-2</v>
      </c>
    </row>
    <row r="166" spans="1:8" x14ac:dyDescent="0.8">
      <c r="A166">
        <v>5</v>
      </c>
      <c r="B166">
        <v>0</v>
      </c>
      <c r="C166">
        <v>190.70599999999999</v>
      </c>
      <c r="D166">
        <v>9.2940000000000005</v>
      </c>
      <c r="E166">
        <v>70</v>
      </c>
      <c r="F166">
        <v>200</v>
      </c>
      <c r="G166">
        <f>C166/F166</f>
        <v>0.95352999999999999</v>
      </c>
      <c r="H166">
        <f>D166/F166</f>
        <v>4.6470000000000004E-2</v>
      </c>
    </row>
  </sheetData>
  <conditionalFormatting sqref="G2:H1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{C643450D-2C21-4D59-9B60-EF055F42CA7B}</x14:id>
        </ext>
      </extLst>
    </cfRule>
  </conditionalFormatting>
  <pageMargins left="0.7" right="0.7" top="0.75" bottom="0.75" header="0.3" footer="0.3"/>
  <ignoredErrors>
    <ignoredError sqref="A1:D1 A2:D36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43450D-2C21-4D59-9B60-EF055F42CA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G2:H166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pradhan</dc:creator>
  <cp:lastModifiedBy>swaraj pradhan</cp:lastModifiedBy>
  <dcterms:created xsi:type="dcterms:W3CDTF">2025-08-29T09:29:33Z</dcterms:created>
  <dcterms:modified xsi:type="dcterms:W3CDTF">2025-08-30T05:00:04Z</dcterms:modified>
</cp:coreProperties>
</file>